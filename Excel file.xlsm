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tis\OneDrive\Documents\"/>
    </mc:Choice>
  </mc:AlternateContent>
  <xr:revisionPtr revIDLastSave="0" documentId="13_ncr:1_{650022EB-14B1-42BD-90BA-9EC020E03E49}" xr6:coauthVersionLast="47" xr6:coauthVersionMax="47" xr10:uidLastSave="{00000000-0000-0000-0000-000000000000}"/>
  <bookViews>
    <workbookView xWindow="-108" yWindow="-108" windowWidth="23256" windowHeight="12576" firstSheet="2" activeTab="6" xr2:uid="{4FE4B468-DE17-4724-BBB9-E405E4262DEE}"/>
  </bookViews>
  <sheets>
    <sheet name="Sheet1" sheetId="1" r:id="rId1"/>
    <sheet name="Sheet2" sheetId="2" r:id="rId2"/>
    <sheet name="Nandanvan" sheetId="3" r:id="rId3"/>
    <sheet name="Urla" sheetId="4" r:id="rId4"/>
    <sheet name="Silyari" sheetId="5" r:id="rId5"/>
    <sheet name="Chandkhuri" sheetId="6" r:id="rId6"/>
    <sheet name="Kharora" sheetId="7" r:id="rId7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" i="6" l="1"/>
  <c r="P4" i="6"/>
  <c r="P6" i="6"/>
  <c r="P7" i="6"/>
  <c r="P9" i="6"/>
  <c r="P14" i="6"/>
  <c r="P16" i="6"/>
  <c r="O2" i="6"/>
  <c r="S10" i="7"/>
  <c r="S9" i="7"/>
  <c r="S8" i="7"/>
  <c r="Q19" i="4"/>
  <c r="S15" i="6"/>
  <c r="S16" i="6"/>
  <c r="A22" i="7"/>
  <c r="B22" i="7" s="1"/>
  <c r="C22" i="7" s="1"/>
  <c r="D22" i="7" s="1"/>
  <c r="E22" i="7" s="1"/>
  <c r="F22" i="7" s="1"/>
  <c r="G22" i="7" s="1"/>
  <c r="H22" i="7" s="1"/>
  <c r="I22" i="7" s="1"/>
  <c r="J22" i="7" s="1"/>
  <c r="K22" i="7" s="1"/>
  <c r="L22" i="7" s="1"/>
  <c r="M22" i="7" s="1"/>
  <c r="N22" i="7" s="1"/>
  <c r="I28" i="5"/>
  <c r="A22" i="5"/>
  <c r="A23" i="5" s="1"/>
  <c r="A22" i="6"/>
  <c r="A32" i="6" s="1"/>
  <c r="M57" i="4"/>
  <c r="I57" i="4"/>
  <c r="I44" i="4"/>
  <c r="A35" i="4"/>
  <c r="A36" i="4" s="1"/>
  <c r="I31" i="4"/>
  <c r="A22" i="4"/>
  <c r="A23" i="4" s="1"/>
  <c r="F16" i="7"/>
  <c r="K16" i="7" s="1"/>
  <c r="P16" i="7" s="1"/>
  <c r="E16" i="7"/>
  <c r="J16" i="7" s="1"/>
  <c r="O16" i="7" s="1"/>
  <c r="D16" i="7"/>
  <c r="I16" i="7" s="1"/>
  <c r="N16" i="7" s="1"/>
  <c r="C16" i="7"/>
  <c r="H16" i="7" s="1"/>
  <c r="M16" i="7" s="1"/>
  <c r="B16" i="7"/>
  <c r="G16" i="7" s="1"/>
  <c r="L16" i="7" s="1"/>
  <c r="F15" i="7"/>
  <c r="K15" i="7" s="1"/>
  <c r="P15" i="7" s="1"/>
  <c r="E15" i="7"/>
  <c r="J15" i="7" s="1"/>
  <c r="O15" i="7" s="1"/>
  <c r="D15" i="7"/>
  <c r="I15" i="7" s="1"/>
  <c r="N15" i="7" s="1"/>
  <c r="C15" i="7"/>
  <c r="H15" i="7" s="1"/>
  <c r="M15" i="7" s="1"/>
  <c r="B15" i="7"/>
  <c r="G15" i="7" s="1"/>
  <c r="L15" i="7" s="1"/>
  <c r="F14" i="7"/>
  <c r="K14" i="7" s="1"/>
  <c r="P14" i="7" s="1"/>
  <c r="E14" i="7"/>
  <c r="J14" i="7" s="1"/>
  <c r="O14" i="7" s="1"/>
  <c r="D14" i="7"/>
  <c r="I14" i="7" s="1"/>
  <c r="N14" i="7" s="1"/>
  <c r="C14" i="7"/>
  <c r="H14" i="7" s="1"/>
  <c r="M14" i="7" s="1"/>
  <c r="B14" i="7"/>
  <c r="G14" i="7" s="1"/>
  <c r="L14" i="7" s="1"/>
  <c r="F13" i="7"/>
  <c r="K13" i="7" s="1"/>
  <c r="P13" i="7" s="1"/>
  <c r="E13" i="7"/>
  <c r="J13" i="7" s="1"/>
  <c r="O13" i="7" s="1"/>
  <c r="D13" i="7"/>
  <c r="I13" i="7" s="1"/>
  <c r="N13" i="7" s="1"/>
  <c r="C13" i="7"/>
  <c r="H13" i="7" s="1"/>
  <c r="M13" i="7" s="1"/>
  <c r="B13" i="7"/>
  <c r="G13" i="7" s="1"/>
  <c r="L13" i="7" s="1"/>
  <c r="F12" i="7"/>
  <c r="K12" i="7" s="1"/>
  <c r="P12" i="7" s="1"/>
  <c r="E12" i="7"/>
  <c r="J12" i="7" s="1"/>
  <c r="O12" i="7" s="1"/>
  <c r="D12" i="7"/>
  <c r="I12" i="7" s="1"/>
  <c r="N12" i="7" s="1"/>
  <c r="C12" i="7"/>
  <c r="H12" i="7" s="1"/>
  <c r="M12" i="7" s="1"/>
  <c r="B12" i="7"/>
  <c r="G12" i="7" s="1"/>
  <c r="L12" i="7" s="1"/>
  <c r="F11" i="7"/>
  <c r="K11" i="7" s="1"/>
  <c r="P11" i="7" s="1"/>
  <c r="E11" i="7"/>
  <c r="J11" i="7" s="1"/>
  <c r="O11" i="7" s="1"/>
  <c r="D11" i="7"/>
  <c r="I11" i="7" s="1"/>
  <c r="N11" i="7" s="1"/>
  <c r="C11" i="7"/>
  <c r="H11" i="7" s="1"/>
  <c r="M11" i="7" s="1"/>
  <c r="B11" i="7"/>
  <c r="G11" i="7" s="1"/>
  <c r="L11" i="7" s="1"/>
  <c r="F10" i="7"/>
  <c r="K10" i="7" s="1"/>
  <c r="P10" i="7" s="1"/>
  <c r="E10" i="7"/>
  <c r="J10" i="7" s="1"/>
  <c r="O10" i="7" s="1"/>
  <c r="D10" i="7"/>
  <c r="I10" i="7" s="1"/>
  <c r="N10" i="7" s="1"/>
  <c r="C10" i="7"/>
  <c r="H10" i="7" s="1"/>
  <c r="M10" i="7" s="1"/>
  <c r="B10" i="7"/>
  <c r="G10" i="7" s="1"/>
  <c r="L10" i="7" s="1"/>
  <c r="F9" i="7"/>
  <c r="K9" i="7" s="1"/>
  <c r="P9" i="7" s="1"/>
  <c r="E9" i="7"/>
  <c r="J9" i="7" s="1"/>
  <c r="O9" i="7" s="1"/>
  <c r="D9" i="7"/>
  <c r="I9" i="7" s="1"/>
  <c r="N9" i="7" s="1"/>
  <c r="C9" i="7"/>
  <c r="H9" i="7" s="1"/>
  <c r="M9" i="7" s="1"/>
  <c r="B9" i="7"/>
  <c r="G9" i="7" s="1"/>
  <c r="L9" i="7" s="1"/>
  <c r="F8" i="7"/>
  <c r="K8" i="7" s="1"/>
  <c r="P8" i="7" s="1"/>
  <c r="E8" i="7"/>
  <c r="J8" i="7" s="1"/>
  <c r="O8" i="7" s="1"/>
  <c r="D8" i="7"/>
  <c r="I8" i="7" s="1"/>
  <c r="N8" i="7" s="1"/>
  <c r="C8" i="7"/>
  <c r="H8" i="7" s="1"/>
  <c r="M8" i="7" s="1"/>
  <c r="B8" i="7"/>
  <c r="G8" i="7" s="1"/>
  <c r="L8" i="7" s="1"/>
  <c r="F7" i="7"/>
  <c r="K7" i="7" s="1"/>
  <c r="P7" i="7" s="1"/>
  <c r="E7" i="7"/>
  <c r="J7" i="7" s="1"/>
  <c r="O7" i="7" s="1"/>
  <c r="D7" i="7"/>
  <c r="I7" i="7" s="1"/>
  <c r="N7" i="7" s="1"/>
  <c r="C7" i="7"/>
  <c r="H7" i="7" s="1"/>
  <c r="M7" i="7" s="1"/>
  <c r="B7" i="7"/>
  <c r="G7" i="7" s="1"/>
  <c r="L7" i="7" s="1"/>
  <c r="F6" i="7"/>
  <c r="K6" i="7" s="1"/>
  <c r="P6" i="7" s="1"/>
  <c r="E6" i="7"/>
  <c r="J6" i="7" s="1"/>
  <c r="O6" i="7" s="1"/>
  <c r="D6" i="7"/>
  <c r="I6" i="7" s="1"/>
  <c r="N6" i="7" s="1"/>
  <c r="C6" i="7"/>
  <c r="H6" i="7" s="1"/>
  <c r="M6" i="7" s="1"/>
  <c r="B6" i="7"/>
  <c r="G6" i="7" s="1"/>
  <c r="L6" i="7" s="1"/>
  <c r="F5" i="7"/>
  <c r="K5" i="7" s="1"/>
  <c r="P5" i="7" s="1"/>
  <c r="E5" i="7"/>
  <c r="J5" i="7" s="1"/>
  <c r="O5" i="7" s="1"/>
  <c r="D5" i="7"/>
  <c r="I5" i="7" s="1"/>
  <c r="N5" i="7" s="1"/>
  <c r="C5" i="7"/>
  <c r="H5" i="7" s="1"/>
  <c r="M5" i="7" s="1"/>
  <c r="B5" i="7"/>
  <c r="G5" i="7" s="1"/>
  <c r="L5" i="7" s="1"/>
  <c r="F4" i="7"/>
  <c r="K4" i="7" s="1"/>
  <c r="P4" i="7" s="1"/>
  <c r="E4" i="7"/>
  <c r="J4" i="7" s="1"/>
  <c r="O4" i="7" s="1"/>
  <c r="D4" i="7"/>
  <c r="I4" i="7" s="1"/>
  <c r="N4" i="7" s="1"/>
  <c r="C4" i="7"/>
  <c r="H4" i="7" s="1"/>
  <c r="M4" i="7" s="1"/>
  <c r="B4" i="7"/>
  <c r="G4" i="7" s="1"/>
  <c r="L4" i="7" s="1"/>
  <c r="F3" i="7"/>
  <c r="K3" i="7" s="1"/>
  <c r="P3" i="7" s="1"/>
  <c r="E3" i="7"/>
  <c r="J3" i="7" s="1"/>
  <c r="O3" i="7" s="1"/>
  <c r="D3" i="7"/>
  <c r="I3" i="7" s="1"/>
  <c r="N3" i="7" s="1"/>
  <c r="C3" i="7"/>
  <c r="H3" i="7" s="1"/>
  <c r="M3" i="7" s="1"/>
  <c r="B3" i="7"/>
  <c r="G3" i="7" s="1"/>
  <c r="L3" i="7" s="1"/>
  <c r="F2" i="7"/>
  <c r="K2" i="7" s="1"/>
  <c r="P2" i="7" s="1"/>
  <c r="E2" i="7"/>
  <c r="J2" i="7" s="1"/>
  <c r="O2" i="7" s="1"/>
  <c r="D2" i="7"/>
  <c r="I2" i="7" s="1"/>
  <c r="N2" i="7" s="1"/>
  <c r="C2" i="7"/>
  <c r="H2" i="7" s="1"/>
  <c r="M2" i="7" s="1"/>
  <c r="B2" i="7"/>
  <c r="G2" i="7" s="1"/>
  <c r="L2" i="7" s="1"/>
  <c r="F16" i="6"/>
  <c r="K16" i="6" s="1"/>
  <c r="E16" i="6"/>
  <c r="J16" i="6" s="1"/>
  <c r="O16" i="6" s="1"/>
  <c r="D16" i="6"/>
  <c r="I16" i="6" s="1"/>
  <c r="N16" i="6" s="1"/>
  <c r="C16" i="6"/>
  <c r="H16" i="6" s="1"/>
  <c r="M16" i="6" s="1"/>
  <c r="B16" i="6"/>
  <c r="G16" i="6" s="1"/>
  <c r="L16" i="6" s="1"/>
  <c r="F15" i="6"/>
  <c r="K15" i="6" s="1"/>
  <c r="P15" i="6" s="1"/>
  <c r="E15" i="6"/>
  <c r="J15" i="6" s="1"/>
  <c r="O15" i="6" s="1"/>
  <c r="D15" i="6"/>
  <c r="I15" i="6" s="1"/>
  <c r="N15" i="6" s="1"/>
  <c r="C15" i="6"/>
  <c r="H15" i="6" s="1"/>
  <c r="M15" i="6" s="1"/>
  <c r="B15" i="6"/>
  <c r="G15" i="6" s="1"/>
  <c r="L15" i="6" s="1"/>
  <c r="F14" i="6"/>
  <c r="K14" i="6" s="1"/>
  <c r="E14" i="6"/>
  <c r="J14" i="6" s="1"/>
  <c r="O14" i="6" s="1"/>
  <c r="D14" i="6"/>
  <c r="I14" i="6" s="1"/>
  <c r="N14" i="6" s="1"/>
  <c r="C14" i="6"/>
  <c r="H14" i="6" s="1"/>
  <c r="M14" i="6" s="1"/>
  <c r="B14" i="6"/>
  <c r="G14" i="6" s="1"/>
  <c r="L14" i="6" s="1"/>
  <c r="F13" i="6"/>
  <c r="K13" i="6" s="1"/>
  <c r="P13" i="6" s="1"/>
  <c r="E13" i="6"/>
  <c r="J13" i="6" s="1"/>
  <c r="O13" i="6" s="1"/>
  <c r="D13" i="6"/>
  <c r="I13" i="6" s="1"/>
  <c r="N13" i="6" s="1"/>
  <c r="C13" i="6"/>
  <c r="H13" i="6" s="1"/>
  <c r="M13" i="6" s="1"/>
  <c r="B13" i="6"/>
  <c r="G13" i="6" s="1"/>
  <c r="L13" i="6" s="1"/>
  <c r="F12" i="6"/>
  <c r="K12" i="6" s="1"/>
  <c r="P12" i="6" s="1"/>
  <c r="E12" i="6"/>
  <c r="J12" i="6" s="1"/>
  <c r="O12" i="6" s="1"/>
  <c r="D12" i="6"/>
  <c r="I12" i="6" s="1"/>
  <c r="N12" i="6" s="1"/>
  <c r="C12" i="6"/>
  <c r="H12" i="6" s="1"/>
  <c r="M12" i="6" s="1"/>
  <c r="B12" i="6"/>
  <c r="G12" i="6" s="1"/>
  <c r="L12" i="6" s="1"/>
  <c r="F11" i="6"/>
  <c r="K11" i="6" s="1"/>
  <c r="P11" i="6" s="1"/>
  <c r="E11" i="6"/>
  <c r="J11" i="6" s="1"/>
  <c r="O11" i="6" s="1"/>
  <c r="D11" i="6"/>
  <c r="I11" i="6" s="1"/>
  <c r="N11" i="6" s="1"/>
  <c r="C11" i="6"/>
  <c r="H11" i="6" s="1"/>
  <c r="M11" i="6" s="1"/>
  <c r="B11" i="6"/>
  <c r="G11" i="6" s="1"/>
  <c r="L11" i="6" s="1"/>
  <c r="F10" i="6"/>
  <c r="K10" i="6" s="1"/>
  <c r="P10" i="6" s="1"/>
  <c r="E10" i="6"/>
  <c r="J10" i="6" s="1"/>
  <c r="O10" i="6" s="1"/>
  <c r="D10" i="6"/>
  <c r="I10" i="6" s="1"/>
  <c r="N10" i="6" s="1"/>
  <c r="C10" i="6"/>
  <c r="H10" i="6" s="1"/>
  <c r="M10" i="6" s="1"/>
  <c r="B10" i="6"/>
  <c r="G10" i="6" s="1"/>
  <c r="L10" i="6" s="1"/>
  <c r="F9" i="6"/>
  <c r="K9" i="6" s="1"/>
  <c r="E9" i="6"/>
  <c r="J9" i="6" s="1"/>
  <c r="O9" i="6" s="1"/>
  <c r="D9" i="6"/>
  <c r="I9" i="6" s="1"/>
  <c r="N9" i="6" s="1"/>
  <c r="C9" i="6"/>
  <c r="H9" i="6" s="1"/>
  <c r="M9" i="6" s="1"/>
  <c r="B9" i="6"/>
  <c r="G9" i="6" s="1"/>
  <c r="L9" i="6" s="1"/>
  <c r="F8" i="6"/>
  <c r="K8" i="6" s="1"/>
  <c r="P8" i="6" s="1"/>
  <c r="E8" i="6"/>
  <c r="J8" i="6" s="1"/>
  <c r="O8" i="6" s="1"/>
  <c r="D8" i="6"/>
  <c r="I8" i="6" s="1"/>
  <c r="N8" i="6" s="1"/>
  <c r="C8" i="6"/>
  <c r="H8" i="6" s="1"/>
  <c r="M8" i="6" s="1"/>
  <c r="B8" i="6"/>
  <c r="G8" i="6" s="1"/>
  <c r="L8" i="6" s="1"/>
  <c r="F7" i="6"/>
  <c r="K7" i="6" s="1"/>
  <c r="E7" i="6"/>
  <c r="J7" i="6" s="1"/>
  <c r="O7" i="6" s="1"/>
  <c r="D7" i="6"/>
  <c r="I7" i="6" s="1"/>
  <c r="N7" i="6" s="1"/>
  <c r="C7" i="6"/>
  <c r="H7" i="6" s="1"/>
  <c r="M7" i="6" s="1"/>
  <c r="B7" i="6"/>
  <c r="G7" i="6" s="1"/>
  <c r="L7" i="6" s="1"/>
  <c r="F6" i="6"/>
  <c r="K6" i="6" s="1"/>
  <c r="E6" i="6"/>
  <c r="J6" i="6" s="1"/>
  <c r="O6" i="6" s="1"/>
  <c r="D6" i="6"/>
  <c r="I6" i="6" s="1"/>
  <c r="N6" i="6" s="1"/>
  <c r="C6" i="6"/>
  <c r="H6" i="6" s="1"/>
  <c r="M6" i="6" s="1"/>
  <c r="B6" i="6"/>
  <c r="G6" i="6" s="1"/>
  <c r="L6" i="6" s="1"/>
  <c r="F5" i="6"/>
  <c r="K5" i="6" s="1"/>
  <c r="P5" i="6" s="1"/>
  <c r="E5" i="6"/>
  <c r="J5" i="6" s="1"/>
  <c r="O5" i="6" s="1"/>
  <c r="D5" i="6"/>
  <c r="I5" i="6" s="1"/>
  <c r="N5" i="6" s="1"/>
  <c r="C5" i="6"/>
  <c r="H5" i="6" s="1"/>
  <c r="M5" i="6" s="1"/>
  <c r="B5" i="6"/>
  <c r="G5" i="6" s="1"/>
  <c r="L5" i="6" s="1"/>
  <c r="F4" i="6"/>
  <c r="K4" i="6" s="1"/>
  <c r="E4" i="6"/>
  <c r="J4" i="6" s="1"/>
  <c r="O4" i="6" s="1"/>
  <c r="D4" i="6"/>
  <c r="I4" i="6" s="1"/>
  <c r="N4" i="6" s="1"/>
  <c r="C4" i="6"/>
  <c r="H4" i="6" s="1"/>
  <c r="M4" i="6" s="1"/>
  <c r="B4" i="6"/>
  <c r="G4" i="6" s="1"/>
  <c r="L4" i="6" s="1"/>
  <c r="F3" i="6"/>
  <c r="K3" i="6" s="1"/>
  <c r="P3" i="6" s="1"/>
  <c r="E3" i="6"/>
  <c r="J3" i="6" s="1"/>
  <c r="O3" i="6" s="1"/>
  <c r="D3" i="6"/>
  <c r="I3" i="6" s="1"/>
  <c r="N3" i="6" s="1"/>
  <c r="C3" i="6"/>
  <c r="H3" i="6" s="1"/>
  <c r="M3" i="6" s="1"/>
  <c r="B3" i="6"/>
  <c r="G3" i="6" s="1"/>
  <c r="L3" i="6" s="1"/>
  <c r="F2" i="6"/>
  <c r="K2" i="6" s="1"/>
  <c r="E2" i="6"/>
  <c r="J2" i="6" s="1"/>
  <c r="D2" i="6"/>
  <c r="I2" i="6" s="1"/>
  <c r="N2" i="6" s="1"/>
  <c r="C2" i="6"/>
  <c r="H2" i="6" s="1"/>
  <c r="M2" i="6" s="1"/>
  <c r="B2" i="6"/>
  <c r="G2" i="6" s="1"/>
  <c r="L2" i="6" s="1"/>
  <c r="H16" i="5"/>
  <c r="M16" i="5" s="1"/>
  <c r="G16" i="5"/>
  <c r="L16" i="5" s="1"/>
  <c r="F16" i="5"/>
  <c r="K16" i="5" s="1"/>
  <c r="P16" i="5" s="1"/>
  <c r="E16" i="5"/>
  <c r="J16" i="5" s="1"/>
  <c r="O16" i="5" s="1"/>
  <c r="D16" i="5"/>
  <c r="I16" i="5" s="1"/>
  <c r="N16" i="5" s="1"/>
  <c r="C16" i="5"/>
  <c r="B16" i="5"/>
  <c r="K15" i="5"/>
  <c r="P15" i="5" s="1"/>
  <c r="J15" i="5"/>
  <c r="O15" i="5" s="1"/>
  <c r="I15" i="5"/>
  <c r="N15" i="5" s="1"/>
  <c r="H15" i="5"/>
  <c r="M15" i="5" s="1"/>
  <c r="G15" i="5"/>
  <c r="L15" i="5" s="1"/>
  <c r="F15" i="5"/>
  <c r="E15" i="5"/>
  <c r="D15" i="5"/>
  <c r="C15" i="5"/>
  <c r="B15" i="5"/>
  <c r="N14" i="5"/>
  <c r="M14" i="5"/>
  <c r="K14" i="5"/>
  <c r="P14" i="5" s="1"/>
  <c r="J14" i="5"/>
  <c r="O14" i="5" s="1"/>
  <c r="I14" i="5"/>
  <c r="H14" i="5"/>
  <c r="F14" i="5"/>
  <c r="E14" i="5"/>
  <c r="D14" i="5"/>
  <c r="C14" i="5"/>
  <c r="B14" i="5"/>
  <c r="G14" i="5" s="1"/>
  <c r="L14" i="5" s="1"/>
  <c r="P13" i="5"/>
  <c r="K13" i="5"/>
  <c r="F13" i="5"/>
  <c r="E13" i="5"/>
  <c r="J13" i="5" s="1"/>
  <c r="O13" i="5" s="1"/>
  <c r="D13" i="5"/>
  <c r="I13" i="5" s="1"/>
  <c r="N13" i="5" s="1"/>
  <c r="C13" i="5"/>
  <c r="H13" i="5" s="1"/>
  <c r="M13" i="5" s="1"/>
  <c r="B13" i="5"/>
  <c r="G13" i="5" s="1"/>
  <c r="L13" i="5" s="1"/>
  <c r="H12" i="5"/>
  <c r="M12" i="5" s="1"/>
  <c r="G12" i="5"/>
  <c r="L12" i="5" s="1"/>
  <c r="F12" i="5"/>
  <c r="K12" i="5" s="1"/>
  <c r="P12" i="5" s="1"/>
  <c r="E12" i="5"/>
  <c r="J12" i="5" s="1"/>
  <c r="O12" i="5" s="1"/>
  <c r="D12" i="5"/>
  <c r="I12" i="5" s="1"/>
  <c r="N12" i="5" s="1"/>
  <c r="C12" i="5"/>
  <c r="B12" i="5"/>
  <c r="K11" i="5"/>
  <c r="P11" i="5" s="1"/>
  <c r="J11" i="5"/>
  <c r="O11" i="5" s="1"/>
  <c r="I11" i="5"/>
  <c r="N11" i="5" s="1"/>
  <c r="H11" i="5"/>
  <c r="M11" i="5" s="1"/>
  <c r="G11" i="5"/>
  <c r="L11" i="5" s="1"/>
  <c r="F11" i="5"/>
  <c r="E11" i="5"/>
  <c r="D11" i="5"/>
  <c r="C11" i="5"/>
  <c r="B11" i="5"/>
  <c r="N10" i="5"/>
  <c r="M10" i="5"/>
  <c r="K10" i="5"/>
  <c r="P10" i="5" s="1"/>
  <c r="J10" i="5"/>
  <c r="O10" i="5" s="1"/>
  <c r="I10" i="5"/>
  <c r="H10" i="5"/>
  <c r="F10" i="5"/>
  <c r="E10" i="5"/>
  <c r="D10" i="5"/>
  <c r="C10" i="5"/>
  <c r="B10" i="5"/>
  <c r="G10" i="5" s="1"/>
  <c r="L10" i="5" s="1"/>
  <c r="P9" i="5"/>
  <c r="K9" i="5"/>
  <c r="F9" i="5"/>
  <c r="E9" i="5"/>
  <c r="J9" i="5" s="1"/>
  <c r="O9" i="5" s="1"/>
  <c r="D9" i="5"/>
  <c r="I9" i="5" s="1"/>
  <c r="N9" i="5" s="1"/>
  <c r="C9" i="5"/>
  <c r="H9" i="5" s="1"/>
  <c r="M9" i="5" s="1"/>
  <c r="B9" i="5"/>
  <c r="G9" i="5" s="1"/>
  <c r="L9" i="5" s="1"/>
  <c r="H8" i="5"/>
  <c r="M8" i="5" s="1"/>
  <c r="G8" i="5"/>
  <c r="L8" i="5" s="1"/>
  <c r="F8" i="5"/>
  <c r="K8" i="5" s="1"/>
  <c r="P8" i="5" s="1"/>
  <c r="E8" i="5"/>
  <c r="J8" i="5" s="1"/>
  <c r="O8" i="5" s="1"/>
  <c r="D8" i="5"/>
  <c r="I8" i="5" s="1"/>
  <c r="N8" i="5" s="1"/>
  <c r="C8" i="5"/>
  <c r="B8" i="5"/>
  <c r="K7" i="5"/>
  <c r="P7" i="5" s="1"/>
  <c r="J7" i="5"/>
  <c r="O7" i="5" s="1"/>
  <c r="I7" i="5"/>
  <c r="N7" i="5" s="1"/>
  <c r="H7" i="5"/>
  <c r="M7" i="5" s="1"/>
  <c r="G7" i="5"/>
  <c r="L7" i="5" s="1"/>
  <c r="F7" i="5"/>
  <c r="E7" i="5"/>
  <c r="D7" i="5"/>
  <c r="C7" i="5"/>
  <c r="B7" i="5"/>
  <c r="N6" i="5"/>
  <c r="M6" i="5"/>
  <c r="K6" i="5"/>
  <c r="P6" i="5" s="1"/>
  <c r="J6" i="5"/>
  <c r="O6" i="5" s="1"/>
  <c r="I6" i="5"/>
  <c r="H6" i="5"/>
  <c r="F6" i="5"/>
  <c r="E6" i="5"/>
  <c r="D6" i="5"/>
  <c r="C6" i="5"/>
  <c r="B6" i="5"/>
  <c r="G6" i="5" s="1"/>
  <c r="L6" i="5" s="1"/>
  <c r="P5" i="5"/>
  <c r="K5" i="5"/>
  <c r="F5" i="5"/>
  <c r="E5" i="5"/>
  <c r="J5" i="5" s="1"/>
  <c r="O5" i="5" s="1"/>
  <c r="D5" i="5"/>
  <c r="I5" i="5" s="1"/>
  <c r="N5" i="5" s="1"/>
  <c r="C5" i="5"/>
  <c r="H5" i="5" s="1"/>
  <c r="M5" i="5" s="1"/>
  <c r="B5" i="5"/>
  <c r="G5" i="5" s="1"/>
  <c r="L5" i="5" s="1"/>
  <c r="H4" i="5"/>
  <c r="M4" i="5" s="1"/>
  <c r="G4" i="5"/>
  <c r="L4" i="5" s="1"/>
  <c r="F4" i="5"/>
  <c r="K4" i="5" s="1"/>
  <c r="P4" i="5" s="1"/>
  <c r="E4" i="5"/>
  <c r="J4" i="5" s="1"/>
  <c r="O4" i="5" s="1"/>
  <c r="D4" i="5"/>
  <c r="I4" i="5" s="1"/>
  <c r="N4" i="5" s="1"/>
  <c r="C4" i="5"/>
  <c r="B4" i="5"/>
  <c r="K3" i="5"/>
  <c r="P3" i="5" s="1"/>
  <c r="J3" i="5"/>
  <c r="O3" i="5" s="1"/>
  <c r="I3" i="5"/>
  <c r="N3" i="5" s="1"/>
  <c r="H3" i="5"/>
  <c r="M3" i="5" s="1"/>
  <c r="G3" i="5"/>
  <c r="L3" i="5" s="1"/>
  <c r="F3" i="5"/>
  <c r="E3" i="5"/>
  <c r="D3" i="5"/>
  <c r="C3" i="5"/>
  <c r="B3" i="5"/>
  <c r="N2" i="5"/>
  <c r="M2" i="5"/>
  <c r="K2" i="5"/>
  <c r="P2" i="5" s="1"/>
  <c r="J2" i="5"/>
  <c r="O2" i="5" s="1"/>
  <c r="I2" i="5"/>
  <c r="H2" i="5"/>
  <c r="F2" i="5"/>
  <c r="E2" i="5"/>
  <c r="D2" i="5"/>
  <c r="C2" i="5"/>
  <c r="B2" i="5"/>
  <c r="G2" i="5" s="1"/>
  <c r="L2" i="5" s="1"/>
  <c r="F16" i="4"/>
  <c r="K16" i="4" s="1"/>
  <c r="P16" i="4" s="1"/>
  <c r="E16" i="4"/>
  <c r="J16" i="4" s="1"/>
  <c r="O16" i="4" s="1"/>
  <c r="D16" i="4"/>
  <c r="I16" i="4" s="1"/>
  <c r="N16" i="4" s="1"/>
  <c r="C16" i="4"/>
  <c r="H16" i="4" s="1"/>
  <c r="M16" i="4" s="1"/>
  <c r="B16" i="4"/>
  <c r="G16" i="4" s="1"/>
  <c r="L16" i="4" s="1"/>
  <c r="F15" i="4"/>
  <c r="K15" i="4" s="1"/>
  <c r="P15" i="4" s="1"/>
  <c r="E15" i="4"/>
  <c r="J15" i="4" s="1"/>
  <c r="O15" i="4" s="1"/>
  <c r="D15" i="4"/>
  <c r="I15" i="4" s="1"/>
  <c r="N15" i="4" s="1"/>
  <c r="C15" i="4"/>
  <c r="H15" i="4" s="1"/>
  <c r="M15" i="4" s="1"/>
  <c r="B15" i="4"/>
  <c r="G15" i="4" s="1"/>
  <c r="L15" i="4" s="1"/>
  <c r="P14" i="4"/>
  <c r="K14" i="4"/>
  <c r="J14" i="4"/>
  <c r="O14" i="4" s="1"/>
  <c r="F14" i="4"/>
  <c r="E14" i="4"/>
  <c r="D14" i="4"/>
  <c r="I14" i="4" s="1"/>
  <c r="N14" i="4" s="1"/>
  <c r="C14" i="4"/>
  <c r="H14" i="4" s="1"/>
  <c r="M14" i="4" s="1"/>
  <c r="B14" i="4"/>
  <c r="G14" i="4" s="1"/>
  <c r="L14" i="4" s="1"/>
  <c r="O13" i="4"/>
  <c r="J13" i="4"/>
  <c r="F13" i="4"/>
  <c r="K13" i="4" s="1"/>
  <c r="P13" i="4" s="1"/>
  <c r="E13" i="4"/>
  <c r="D13" i="4"/>
  <c r="I13" i="4" s="1"/>
  <c r="N13" i="4" s="1"/>
  <c r="C13" i="4"/>
  <c r="H13" i="4" s="1"/>
  <c r="M13" i="4" s="1"/>
  <c r="B13" i="4"/>
  <c r="G13" i="4" s="1"/>
  <c r="L13" i="4" s="1"/>
  <c r="K12" i="4"/>
  <c r="P12" i="4" s="1"/>
  <c r="F12" i="4"/>
  <c r="E12" i="4"/>
  <c r="J12" i="4" s="1"/>
  <c r="O12" i="4" s="1"/>
  <c r="D12" i="4"/>
  <c r="I12" i="4" s="1"/>
  <c r="N12" i="4" s="1"/>
  <c r="C12" i="4"/>
  <c r="H12" i="4" s="1"/>
  <c r="M12" i="4" s="1"/>
  <c r="B12" i="4"/>
  <c r="G12" i="4" s="1"/>
  <c r="L12" i="4" s="1"/>
  <c r="L11" i="4"/>
  <c r="G11" i="4"/>
  <c r="F11" i="4"/>
  <c r="K11" i="4" s="1"/>
  <c r="P11" i="4" s="1"/>
  <c r="E11" i="4"/>
  <c r="J11" i="4" s="1"/>
  <c r="O11" i="4" s="1"/>
  <c r="D11" i="4"/>
  <c r="I11" i="4" s="1"/>
  <c r="N11" i="4" s="1"/>
  <c r="C11" i="4"/>
  <c r="H11" i="4" s="1"/>
  <c r="M11" i="4" s="1"/>
  <c r="B11" i="4"/>
  <c r="L10" i="4"/>
  <c r="G10" i="4"/>
  <c r="F10" i="4"/>
  <c r="K10" i="4" s="1"/>
  <c r="P10" i="4" s="1"/>
  <c r="E10" i="4"/>
  <c r="J10" i="4" s="1"/>
  <c r="O10" i="4" s="1"/>
  <c r="D10" i="4"/>
  <c r="I10" i="4" s="1"/>
  <c r="N10" i="4" s="1"/>
  <c r="C10" i="4"/>
  <c r="H10" i="4" s="1"/>
  <c r="M10" i="4" s="1"/>
  <c r="B10" i="4"/>
  <c r="M9" i="4"/>
  <c r="H9" i="4"/>
  <c r="F9" i="4"/>
  <c r="K9" i="4" s="1"/>
  <c r="P9" i="4" s="1"/>
  <c r="E9" i="4"/>
  <c r="J9" i="4" s="1"/>
  <c r="O9" i="4" s="1"/>
  <c r="D9" i="4"/>
  <c r="I9" i="4" s="1"/>
  <c r="N9" i="4" s="1"/>
  <c r="C9" i="4"/>
  <c r="B9" i="4"/>
  <c r="G9" i="4" s="1"/>
  <c r="L9" i="4" s="1"/>
  <c r="F8" i="4"/>
  <c r="K8" i="4" s="1"/>
  <c r="P8" i="4" s="1"/>
  <c r="E8" i="4"/>
  <c r="J8" i="4" s="1"/>
  <c r="O8" i="4" s="1"/>
  <c r="D8" i="4"/>
  <c r="I8" i="4" s="1"/>
  <c r="N8" i="4" s="1"/>
  <c r="C8" i="4"/>
  <c r="H8" i="4" s="1"/>
  <c r="M8" i="4" s="1"/>
  <c r="B8" i="4"/>
  <c r="G8" i="4" s="1"/>
  <c r="L8" i="4" s="1"/>
  <c r="N7" i="4"/>
  <c r="I7" i="4"/>
  <c r="G7" i="4"/>
  <c r="L7" i="4" s="1"/>
  <c r="F7" i="4"/>
  <c r="K7" i="4" s="1"/>
  <c r="P7" i="4" s="1"/>
  <c r="E7" i="4"/>
  <c r="J7" i="4" s="1"/>
  <c r="O7" i="4" s="1"/>
  <c r="D7" i="4"/>
  <c r="C7" i="4"/>
  <c r="H7" i="4" s="1"/>
  <c r="M7" i="4" s="1"/>
  <c r="B7" i="4"/>
  <c r="I6" i="4"/>
  <c r="N6" i="4" s="1"/>
  <c r="G6" i="4"/>
  <c r="L6" i="4" s="1"/>
  <c r="F6" i="4"/>
  <c r="K6" i="4" s="1"/>
  <c r="P6" i="4" s="1"/>
  <c r="E6" i="4"/>
  <c r="J6" i="4" s="1"/>
  <c r="O6" i="4" s="1"/>
  <c r="D6" i="4"/>
  <c r="C6" i="4"/>
  <c r="H6" i="4" s="1"/>
  <c r="M6" i="4" s="1"/>
  <c r="B6" i="4"/>
  <c r="F5" i="4"/>
  <c r="K5" i="4" s="1"/>
  <c r="P5" i="4" s="1"/>
  <c r="E5" i="4"/>
  <c r="J5" i="4" s="1"/>
  <c r="O5" i="4" s="1"/>
  <c r="D5" i="4"/>
  <c r="I5" i="4" s="1"/>
  <c r="N5" i="4" s="1"/>
  <c r="C5" i="4"/>
  <c r="H5" i="4" s="1"/>
  <c r="M5" i="4" s="1"/>
  <c r="B5" i="4"/>
  <c r="G5" i="4" s="1"/>
  <c r="L5" i="4" s="1"/>
  <c r="J4" i="4"/>
  <c r="O4" i="4" s="1"/>
  <c r="F4" i="4"/>
  <c r="K4" i="4" s="1"/>
  <c r="P4" i="4" s="1"/>
  <c r="E4" i="4"/>
  <c r="D4" i="4"/>
  <c r="I4" i="4" s="1"/>
  <c r="N4" i="4" s="1"/>
  <c r="C4" i="4"/>
  <c r="H4" i="4" s="1"/>
  <c r="M4" i="4" s="1"/>
  <c r="B4" i="4"/>
  <c r="G4" i="4" s="1"/>
  <c r="L4" i="4" s="1"/>
  <c r="G3" i="4"/>
  <c r="L3" i="4" s="1"/>
  <c r="F3" i="4"/>
  <c r="K3" i="4" s="1"/>
  <c r="P3" i="4" s="1"/>
  <c r="E3" i="4"/>
  <c r="J3" i="4" s="1"/>
  <c r="O3" i="4" s="1"/>
  <c r="D3" i="4"/>
  <c r="I3" i="4" s="1"/>
  <c r="N3" i="4" s="1"/>
  <c r="C3" i="4"/>
  <c r="H3" i="4" s="1"/>
  <c r="M3" i="4" s="1"/>
  <c r="B3" i="4"/>
  <c r="K2" i="4"/>
  <c r="P2" i="4" s="1"/>
  <c r="G2" i="4"/>
  <c r="L2" i="4" s="1"/>
  <c r="F2" i="4"/>
  <c r="E2" i="4"/>
  <c r="J2" i="4" s="1"/>
  <c r="O2" i="4" s="1"/>
  <c r="D2" i="4"/>
  <c r="I2" i="4" s="1"/>
  <c r="N2" i="4" s="1"/>
  <c r="C2" i="4"/>
  <c r="H2" i="4" s="1"/>
  <c r="M2" i="4" s="1"/>
  <c r="B2" i="4"/>
  <c r="I30" i="3"/>
  <c r="A26" i="3"/>
  <c r="A22" i="3"/>
  <c r="D22" i="3"/>
  <c r="E22" i="3" s="1"/>
  <c r="F22" i="3" s="1"/>
  <c r="G22" i="3" s="1"/>
  <c r="H22" i="3" s="1"/>
  <c r="A23" i="3" s="1"/>
  <c r="H16" i="3"/>
  <c r="M16" i="3" s="1"/>
  <c r="F16" i="3"/>
  <c r="K16" i="3" s="1"/>
  <c r="P16" i="3" s="1"/>
  <c r="E16" i="3"/>
  <c r="J16" i="3" s="1"/>
  <c r="O16" i="3" s="1"/>
  <c r="D16" i="3"/>
  <c r="I16" i="3" s="1"/>
  <c r="N16" i="3" s="1"/>
  <c r="C16" i="3"/>
  <c r="B16" i="3"/>
  <c r="G16" i="3" s="1"/>
  <c r="L16" i="3" s="1"/>
  <c r="K15" i="3"/>
  <c r="P15" i="3" s="1"/>
  <c r="I15" i="3"/>
  <c r="N15" i="3" s="1"/>
  <c r="H15" i="3"/>
  <c r="M15" i="3" s="1"/>
  <c r="G15" i="3"/>
  <c r="L15" i="3" s="1"/>
  <c r="F15" i="3"/>
  <c r="E15" i="3"/>
  <c r="J15" i="3" s="1"/>
  <c r="O15" i="3" s="1"/>
  <c r="D15" i="3"/>
  <c r="C15" i="3"/>
  <c r="B15" i="3"/>
  <c r="N14" i="3"/>
  <c r="K14" i="3"/>
  <c r="P14" i="3" s="1"/>
  <c r="J14" i="3"/>
  <c r="O14" i="3" s="1"/>
  <c r="I14" i="3"/>
  <c r="H14" i="3"/>
  <c r="M14" i="3" s="1"/>
  <c r="F14" i="3"/>
  <c r="E14" i="3"/>
  <c r="D14" i="3"/>
  <c r="C14" i="3"/>
  <c r="B14" i="3"/>
  <c r="G14" i="3" s="1"/>
  <c r="L14" i="3" s="1"/>
  <c r="K13" i="3"/>
  <c r="P13" i="3" s="1"/>
  <c r="I13" i="3"/>
  <c r="N13" i="3" s="1"/>
  <c r="F13" i="3"/>
  <c r="E13" i="3"/>
  <c r="J13" i="3" s="1"/>
  <c r="O13" i="3" s="1"/>
  <c r="D13" i="3"/>
  <c r="C13" i="3"/>
  <c r="H13" i="3" s="1"/>
  <c r="M13" i="3" s="1"/>
  <c r="B13" i="3"/>
  <c r="G13" i="3" s="1"/>
  <c r="L13" i="3" s="1"/>
  <c r="H12" i="3"/>
  <c r="M12" i="3" s="1"/>
  <c r="F12" i="3"/>
  <c r="K12" i="3" s="1"/>
  <c r="P12" i="3" s="1"/>
  <c r="E12" i="3"/>
  <c r="J12" i="3" s="1"/>
  <c r="O12" i="3" s="1"/>
  <c r="D12" i="3"/>
  <c r="I12" i="3" s="1"/>
  <c r="N12" i="3" s="1"/>
  <c r="C12" i="3"/>
  <c r="B12" i="3"/>
  <c r="G12" i="3" s="1"/>
  <c r="L12" i="3" s="1"/>
  <c r="K11" i="3"/>
  <c r="P11" i="3" s="1"/>
  <c r="I11" i="3"/>
  <c r="N11" i="3" s="1"/>
  <c r="H11" i="3"/>
  <c r="M11" i="3" s="1"/>
  <c r="G11" i="3"/>
  <c r="L11" i="3" s="1"/>
  <c r="F11" i="3"/>
  <c r="E11" i="3"/>
  <c r="J11" i="3" s="1"/>
  <c r="O11" i="3" s="1"/>
  <c r="D11" i="3"/>
  <c r="C11" i="3"/>
  <c r="B11" i="3"/>
  <c r="K10" i="3"/>
  <c r="P10" i="3" s="1"/>
  <c r="J10" i="3"/>
  <c r="O10" i="3" s="1"/>
  <c r="I10" i="3"/>
  <c r="N10" i="3" s="1"/>
  <c r="H10" i="3"/>
  <c r="M10" i="3" s="1"/>
  <c r="F10" i="3"/>
  <c r="E10" i="3"/>
  <c r="D10" i="3"/>
  <c r="C10" i="3"/>
  <c r="B10" i="3"/>
  <c r="G10" i="3" s="1"/>
  <c r="L10" i="3" s="1"/>
  <c r="N9" i="3"/>
  <c r="K9" i="3"/>
  <c r="P9" i="3" s="1"/>
  <c r="J9" i="3"/>
  <c r="O9" i="3" s="1"/>
  <c r="I9" i="3"/>
  <c r="F9" i="3"/>
  <c r="E9" i="3"/>
  <c r="D9" i="3"/>
  <c r="C9" i="3"/>
  <c r="H9" i="3" s="1"/>
  <c r="M9" i="3" s="1"/>
  <c r="B9" i="3"/>
  <c r="G9" i="3" s="1"/>
  <c r="L9" i="3" s="1"/>
  <c r="M8" i="3"/>
  <c r="H8" i="3"/>
  <c r="F8" i="3"/>
  <c r="K8" i="3" s="1"/>
  <c r="P8" i="3" s="1"/>
  <c r="E8" i="3"/>
  <c r="J8" i="3" s="1"/>
  <c r="O8" i="3" s="1"/>
  <c r="D8" i="3"/>
  <c r="I8" i="3" s="1"/>
  <c r="N8" i="3" s="1"/>
  <c r="C8" i="3"/>
  <c r="B8" i="3"/>
  <c r="G8" i="3" s="1"/>
  <c r="L8" i="3" s="1"/>
  <c r="P7" i="3"/>
  <c r="K7" i="3"/>
  <c r="H7" i="3"/>
  <c r="M7" i="3" s="1"/>
  <c r="G7" i="3"/>
  <c r="L7" i="3" s="1"/>
  <c r="F7" i="3"/>
  <c r="E7" i="3"/>
  <c r="J7" i="3" s="1"/>
  <c r="O7" i="3" s="1"/>
  <c r="D7" i="3"/>
  <c r="I7" i="3" s="1"/>
  <c r="N7" i="3" s="1"/>
  <c r="C7" i="3"/>
  <c r="B7" i="3"/>
  <c r="N6" i="3"/>
  <c r="K6" i="3"/>
  <c r="P6" i="3" s="1"/>
  <c r="J6" i="3"/>
  <c r="O6" i="3" s="1"/>
  <c r="I6" i="3"/>
  <c r="H6" i="3"/>
  <c r="M6" i="3" s="1"/>
  <c r="G6" i="3"/>
  <c r="L6" i="3" s="1"/>
  <c r="F6" i="3"/>
  <c r="E6" i="3"/>
  <c r="D6" i="3"/>
  <c r="C6" i="3"/>
  <c r="B6" i="3"/>
  <c r="N5" i="3"/>
  <c r="K5" i="3"/>
  <c r="P5" i="3" s="1"/>
  <c r="J5" i="3"/>
  <c r="O5" i="3" s="1"/>
  <c r="I5" i="3"/>
  <c r="F5" i="3"/>
  <c r="E5" i="3"/>
  <c r="D5" i="3"/>
  <c r="C5" i="3"/>
  <c r="H5" i="3" s="1"/>
  <c r="M5" i="3" s="1"/>
  <c r="B5" i="3"/>
  <c r="G5" i="3" s="1"/>
  <c r="L5" i="3" s="1"/>
  <c r="M4" i="3"/>
  <c r="H4" i="3"/>
  <c r="F4" i="3"/>
  <c r="K4" i="3" s="1"/>
  <c r="P4" i="3" s="1"/>
  <c r="E4" i="3"/>
  <c r="J4" i="3" s="1"/>
  <c r="O4" i="3" s="1"/>
  <c r="D4" i="3"/>
  <c r="I4" i="3" s="1"/>
  <c r="N4" i="3" s="1"/>
  <c r="C4" i="3"/>
  <c r="B4" i="3"/>
  <c r="G4" i="3" s="1"/>
  <c r="L4" i="3" s="1"/>
  <c r="P3" i="3"/>
  <c r="K3" i="3"/>
  <c r="H3" i="3"/>
  <c r="M3" i="3" s="1"/>
  <c r="F3" i="3"/>
  <c r="E3" i="3"/>
  <c r="J3" i="3" s="1"/>
  <c r="O3" i="3" s="1"/>
  <c r="D3" i="3"/>
  <c r="I3" i="3" s="1"/>
  <c r="N3" i="3" s="1"/>
  <c r="C3" i="3"/>
  <c r="B3" i="3"/>
  <c r="G3" i="3" s="1"/>
  <c r="L3" i="3" s="1"/>
  <c r="N2" i="3"/>
  <c r="K2" i="3"/>
  <c r="P2" i="3" s="1"/>
  <c r="I2" i="3"/>
  <c r="H2" i="3"/>
  <c r="M2" i="3" s="1"/>
  <c r="G2" i="3"/>
  <c r="L2" i="3" s="1"/>
  <c r="F2" i="3"/>
  <c r="E2" i="3"/>
  <c r="J2" i="3" s="1"/>
  <c r="O2" i="3" s="1"/>
  <c r="D2" i="3"/>
  <c r="C2" i="3"/>
  <c r="B2" i="3"/>
  <c r="D17" i="2"/>
  <c r="E17" i="2"/>
  <c r="C17" i="2"/>
  <c r="E16" i="2"/>
  <c r="D16" i="2"/>
  <c r="C16" i="2"/>
  <c r="E15" i="2"/>
  <c r="D15" i="2"/>
  <c r="C15" i="2"/>
  <c r="E14" i="2"/>
  <c r="D14" i="2"/>
  <c r="C14" i="2"/>
  <c r="E13" i="2"/>
  <c r="D13" i="2"/>
  <c r="C13" i="2"/>
  <c r="E12" i="2"/>
  <c r="D12" i="2"/>
  <c r="C12" i="2"/>
  <c r="F11" i="2"/>
  <c r="E11" i="2"/>
  <c r="D11" i="2"/>
  <c r="C11" i="2"/>
  <c r="A22" i="2"/>
  <c r="J22" i="2" s="1"/>
  <c r="A31" i="7" l="1"/>
  <c r="A23" i="7"/>
  <c r="B23" i="5"/>
  <c r="C23" i="5" s="1"/>
  <c r="D23" i="5" s="1"/>
  <c r="E23" i="5" s="1"/>
  <c r="F23" i="5" s="1"/>
  <c r="G23" i="5" s="1"/>
  <c r="H23" i="5" s="1"/>
  <c r="A24" i="5"/>
  <c r="B22" i="5"/>
  <c r="C22" i="5" s="1"/>
  <c r="D22" i="5" s="1"/>
  <c r="E22" i="5" s="1"/>
  <c r="F22" i="5" s="1"/>
  <c r="G22" i="5" s="1"/>
  <c r="H22" i="5" s="1"/>
  <c r="A33" i="6"/>
  <c r="B32" i="6"/>
  <c r="C32" i="6" s="1"/>
  <c r="D32" i="6" s="1"/>
  <c r="E32" i="6" s="1"/>
  <c r="F32" i="6" s="1"/>
  <c r="G32" i="6" s="1"/>
  <c r="H32" i="6" s="1"/>
  <c r="I32" i="6" s="1"/>
  <c r="J32" i="6" s="1"/>
  <c r="A42" i="6"/>
  <c r="B22" i="6"/>
  <c r="C22" i="6" s="1"/>
  <c r="D22" i="6" s="1"/>
  <c r="E22" i="6" s="1"/>
  <c r="F22" i="6" s="1"/>
  <c r="G22" i="6" s="1"/>
  <c r="H22" i="6" s="1"/>
  <c r="I22" i="6" s="1"/>
  <c r="J22" i="6" s="1"/>
  <c r="A23" i="6"/>
  <c r="B36" i="4"/>
  <c r="C36" i="4" s="1"/>
  <c r="D36" i="4" s="1"/>
  <c r="E36" i="4" s="1"/>
  <c r="F36" i="4" s="1"/>
  <c r="G36" i="4" s="1"/>
  <c r="H36" i="4" s="1"/>
  <c r="A37" i="4"/>
  <c r="B35" i="4"/>
  <c r="C35" i="4" s="1"/>
  <c r="D35" i="4" s="1"/>
  <c r="E35" i="4" s="1"/>
  <c r="F35" i="4" s="1"/>
  <c r="G35" i="4" s="1"/>
  <c r="H35" i="4" s="1"/>
  <c r="A48" i="4"/>
  <c r="B23" i="4"/>
  <c r="C23" i="4" s="1"/>
  <c r="D23" i="4" s="1"/>
  <c r="E23" i="4" s="1"/>
  <c r="F23" i="4" s="1"/>
  <c r="G23" i="4" s="1"/>
  <c r="H23" i="4" s="1"/>
  <c r="A24" i="4"/>
  <c r="B22" i="4"/>
  <c r="C22" i="4" s="1"/>
  <c r="D22" i="4" s="1"/>
  <c r="E22" i="4" s="1"/>
  <c r="F22" i="4" s="1"/>
  <c r="G22" i="4" s="1"/>
  <c r="H22" i="4" s="1"/>
  <c r="D23" i="3"/>
  <c r="E23" i="3" s="1"/>
  <c r="F23" i="3" s="1"/>
  <c r="G23" i="3" s="1"/>
  <c r="H23" i="3" s="1"/>
  <c r="A24" i="3" s="1"/>
  <c r="B23" i="3"/>
  <c r="C23" i="3" s="1"/>
  <c r="B22" i="3"/>
  <c r="C22" i="3" s="1"/>
  <c r="W24" i="2"/>
  <c r="W23" i="2"/>
  <c r="S23" i="2"/>
  <c r="V23" i="2" s="1"/>
  <c r="R35" i="2"/>
  <c r="I35" i="2"/>
  <c r="L4" i="2"/>
  <c r="M4" i="2"/>
  <c r="N4" i="2"/>
  <c r="O4" i="2"/>
  <c r="P4" i="2"/>
  <c r="L5" i="2"/>
  <c r="M5" i="2"/>
  <c r="N5" i="2"/>
  <c r="O5" i="2"/>
  <c r="P5" i="2"/>
  <c r="L6" i="2"/>
  <c r="M6" i="2"/>
  <c r="N6" i="2"/>
  <c r="O6" i="2"/>
  <c r="P6" i="2"/>
  <c r="L7" i="2"/>
  <c r="M7" i="2"/>
  <c r="N7" i="2"/>
  <c r="O7" i="2"/>
  <c r="P7" i="2"/>
  <c r="L8" i="2"/>
  <c r="M8" i="2"/>
  <c r="N8" i="2"/>
  <c r="O8" i="2"/>
  <c r="P8" i="2"/>
  <c r="L9" i="2"/>
  <c r="M9" i="2"/>
  <c r="N9" i="2"/>
  <c r="O9" i="2"/>
  <c r="P9" i="2"/>
  <c r="L10" i="2"/>
  <c r="M10" i="2"/>
  <c r="N10" i="2"/>
  <c r="O10" i="2"/>
  <c r="P10" i="2"/>
  <c r="L11" i="2"/>
  <c r="L12" i="2"/>
  <c r="M12" i="2"/>
  <c r="N12" i="2"/>
  <c r="P12" i="2"/>
  <c r="L13" i="2"/>
  <c r="P13" i="2"/>
  <c r="L14" i="2"/>
  <c r="P14" i="2"/>
  <c r="L15" i="2"/>
  <c r="P15" i="2"/>
  <c r="L16" i="2"/>
  <c r="P16" i="2"/>
  <c r="L17" i="2"/>
  <c r="N17" i="2"/>
  <c r="O17" i="2"/>
  <c r="P17" i="2"/>
  <c r="M3" i="2"/>
  <c r="N3" i="2"/>
  <c r="O3" i="2"/>
  <c r="P3" i="2"/>
  <c r="L3" i="2"/>
  <c r="E10" i="2"/>
  <c r="J10" i="2" s="1"/>
  <c r="C10" i="2"/>
  <c r="H10" i="2" s="1"/>
  <c r="D10" i="2"/>
  <c r="I10" i="2" s="1"/>
  <c r="E9" i="2"/>
  <c r="J9" i="2" s="1"/>
  <c r="D9" i="2"/>
  <c r="I9" i="2" s="1"/>
  <c r="C9" i="2"/>
  <c r="H9" i="2" s="1"/>
  <c r="E8" i="2"/>
  <c r="J8" i="2" s="1"/>
  <c r="D8" i="2"/>
  <c r="I8" i="2" s="1"/>
  <c r="C8" i="2"/>
  <c r="H8" i="2" s="1"/>
  <c r="E7" i="2"/>
  <c r="J7" i="2" s="1"/>
  <c r="D7" i="2"/>
  <c r="I7" i="2" s="1"/>
  <c r="C7" i="2"/>
  <c r="H7" i="2" s="1"/>
  <c r="E6" i="2"/>
  <c r="J6" i="2" s="1"/>
  <c r="D6" i="2"/>
  <c r="I6" i="2" s="1"/>
  <c r="C6" i="2"/>
  <c r="D5" i="2"/>
  <c r="I5" i="2" s="1"/>
  <c r="E5" i="2"/>
  <c r="J5" i="2" s="1"/>
  <c r="C5" i="2"/>
  <c r="H5" i="2" s="1"/>
  <c r="E4" i="2"/>
  <c r="J4" i="2" s="1"/>
  <c r="D4" i="2"/>
  <c r="I4" i="2" s="1"/>
  <c r="C4" i="2"/>
  <c r="H4" i="2" s="1"/>
  <c r="E3" i="2"/>
  <c r="J3" i="2" s="1"/>
  <c r="D3" i="2"/>
  <c r="I3" i="2" s="1"/>
  <c r="C3" i="2"/>
  <c r="H3" i="2" s="1"/>
  <c r="H6" i="2"/>
  <c r="H11" i="2"/>
  <c r="M11" i="2" s="1"/>
  <c r="I11" i="2"/>
  <c r="N11" i="2" s="1"/>
  <c r="J11" i="2"/>
  <c r="O11" i="2" s="1"/>
  <c r="H12" i="2"/>
  <c r="I12" i="2"/>
  <c r="J12" i="2"/>
  <c r="O12" i="2" s="1"/>
  <c r="H13" i="2"/>
  <c r="M13" i="2" s="1"/>
  <c r="I13" i="2"/>
  <c r="N13" i="2" s="1"/>
  <c r="J13" i="2"/>
  <c r="O13" i="2" s="1"/>
  <c r="H14" i="2"/>
  <c r="M14" i="2" s="1"/>
  <c r="I14" i="2"/>
  <c r="N14" i="2" s="1"/>
  <c r="J14" i="2"/>
  <c r="O14" i="2" s="1"/>
  <c r="H15" i="2"/>
  <c r="M15" i="2" s="1"/>
  <c r="I15" i="2"/>
  <c r="N15" i="2" s="1"/>
  <c r="J15" i="2"/>
  <c r="O15" i="2" s="1"/>
  <c r="H16" i="2"/>
  <c r="M16" i="2" s="1"/>
  <c r="I16" i="2"/>
  <c r="N16" i="2" s="1"/>
  <c r="J16" i="2"/>
  <c r="O16" i="2" s="1"/>
  <c r="H17" i="2"/>
  <c r="M17" i="2" s="1"/>
  <c r="I17" i="2"/>
  <c r="J17" i="2"/>
  <c r="F17" i="2"/>
  <c r="K17" i="2" s="1"/>
  <c r="B17" i="2"/>
  <c r="G17" i="2" s="1"/>
  <c r="F16" i="2"/>
  <c r="K16" i="2" s="1"/>
  <c r="B16" i="2"/>
  <c r="G16" i="2" s="1"/>
  <c r="F15" i="2"/>
  <c r="K15" i="2" s="1"/>
  <c r="B15" i="2"/>
  <c r="G15" i="2" s="1"/>
  <c r="F14" i="2"/>
  <c r="K14" i="2" s="1"/>
  <c r="B14" i="2"/>
  <c r="G14" i="2" s="1"/>
  <c r="F13" i="2"/>
  <c r="K13" i="2" s="1"/>
  <c r="B13" i="2"/>
  <c r="G13" i="2" s="1"/>
  <c r="F12" i="2"/>
  <c r="K12" i="2" s="1"/>
  <c r="B12" i="2"/>
  <c r="G12" i="2" s="1"/>
  <c r="K11" i="2"/>
  <c r="P11" i="2" s="1"/>
  <c r="B11" i="2"/>
  <c r="G11" i="2" s="1"/>
  <c r="F10" i="2"/>
  <c r="K10" i="2" s="1"/>
  <c r="B10" i="2"/>
  <c r="G10" i="2" s="1"/>
  <c r="F9" i="2"/>
  <c r="K9" i="2" s="1"/>
  <c r="B9" i="2"/>
  <c r="G9" i="2" s="1"/>
  <c r="F8" i="2"/>
  <c r="K8" i="2" s="1"/>
  <c r="B8" i="2"/>
  <c r="G8" i="2" s="1"/>
  <c r="F7" i="2"/>
  <c r="K7" i="2" s="1"/>
  <c r="B7" i="2"/>
  <c r="G7" i="2" s="1"/>
  <c r="F6" i="2"/>
  <c r="K6" i="2" s="1"/>
  <c r="B6" i="2"/>
  <c r="G6" i="2" s="1"/>
  <c r="F5" i="2"/>
  <c r="K5" i="2" s="1"/>
  <c r="B5" i="2"/>
  <c r="G5" i="2" s="1"/>
  <c r="F4" i="2"/>
  <c r="K4" i="2" s="1"/>
  <c r="B4" i="2"/>
  <c r="G4" i="2" s="1"/>
  <c r="F3" i="2"/>
  <c r="K3" i="2" s="1"/>
  <c r="B3" i="2"/>
  <c r="G3" i="2" s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14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14" i="1"/>
  <c r="C28" i="1"/>
  <c r="C27" i="1"/>
  <c r="C26" i="1"/>
  <c r="C25" i="1"/>
  <c r="C24" i="1"/>
  <c r="C23" i="1"/>
  <c r="C22" i="1"/>
  <c r="B28" i="1"/>
  <c r="B27" i="1"/>
  <c r="B26" i="1"/>
  <c r="B25" i="1"/>
  <c r="B24" i="1"/>
  <c r="B23" i="1"/>
  <c r="B22" i="1"/>
  <c r="C21" i="1"/>
  <c r="C20" i="1"/>
  <c r="C19" i="1"/>
  <c r="C18" i="1"/>
  <c r="C17" i="1"/>
  <c r="C16" i="1"/>
  <c r="C15" i="1"/>
  <c r="B21" i="1"/>
  <c r="B20" i="1"/>
  <c r="B19" i="1"/>
  <c r="B18" i="1"/>
  <c r="B17" i="1"/>
  <c r="B16" i="1"/>
  <c r="B15" i="1"/>
  <c r="C14" i="1"/>
  <c r="B14" i="1"/>
  <c r="B4" i="1"/>
  <c r="E4" i="1" s="1"/>
  <c r="F4" i="1" s="1"/>
  <c r="G4" i="1" s="1"/>
  <c r="H4" i="1" s="1"/>
  <c r="I4" i="1" s="1"/>
  <c r="B5" i="1" s="1"/>
  <c r="A24" i="7" l="1"/>
  <c r="B23" i="7"/>
  <c r="C23" i="7" s="1"/>
  <c r="D23" i="7" s="1"/>
  <c r="E23" i="7" s="1"/>
  <c r="F23" i="7" s="1"/>
  <c r="G23" i="7" s="1"/>
  <c r="H23" i="7" s="1"/>
  <c r="I23" i="7" s="1"/>
  <c r="J23" i="7" s="1"/>
  <c r="K23" i="7" s="1"/>
  <c r="L23" i="7" s="1"/>
  <c r="M23" i="7" s="1"/>
  <c r="N23" i="7" s="1"/>
  <c r="A40" i="7"/>
  <c r="A32" i="7"/>
  <c r="B31" i="7"/>
  <c r="C31" i="7" s="1"/>
  <c r="D31" i="7" s="1"/>
  <c r="E31" i="7" s="1"/>
  <c r="F31" i="7" s="1"/>
  <c r="G31" i="7" s="1"/>
  <c r="H31" i="7" s="1"/>
  <c r="I31" i="7" s="1"/>
  <c r="J31" i="7" s="1"/>
  <c r="K31" i="7" s="1"/>
  <c r="L31" i="7" s="1"/>
  <c r="M31" i="7" s="1"/>
  <c r="N31" i="7" s="1"/>
  <c r="B24" i="5"/>
  <c r="C24" i="5" s="1"/>
  <c r="D24" i="5" s="1"/>
  <c r="E24" i="5" s="1"/>
  <c r="F24" i="5" s="1"/>
  <c r="G24" i="5" s="1"/>
  <c r="H24" i="5" s="1"/>
  <c r="A25" i="5"/>
  <c r="B23" i="6"/>
  <c r="C23" i="6" s="1"/>
  <c r="D23" i="6" s="1"/>
  <c r="E23" i="6" s="1"/>
  <c r="F23" i="6" s="1"/>
  <c r="G23" i="6" s="1"/>
  <c r="H23" i="6" s="1"/>
  <c r="I23" i="6" s="1"/>
  <c r="J23" i="6" s="1"/>
  <c r="A24" i="6"/>
  <c r="A43" i="6"/>
  <c r="A52" i="6"/>
  <c r="B42" i="6"/>
  <c r="C42" i="6" s="1"/>
  <c r="D42" i="6" s="1"/>
  <c r="E42" i="6" s="1"/>
  <c r="F42" i="6" s="1"/>
  <c r="G42" i="6" s="1"/>
  <c r="H42" i="6" s="1"/>
  <c r="I42" i="6" s="1"/>
  <c r="J42" i="6" s="1"/>
  <c r="B33" i="6"/>
  <c r="C33" i="6" s="1"/>
  <c r="D33" i="6" s="1"/>
  <c r="E33" i="6" s="1"/>
  <c r="F33" i="6" s="1"/>
  <c r="G33" i="6" s="1"/>
  <c r="H33" i="6" s="1"/>
  <c r="I33" i="6" s="1"/>
  <c r="J33" i="6" s="1"/>
  <c r="A34" i="6"/>
  <c r="A49" i="4"/>
  <c r="B48" i="4"/>
  <c r="C48" i="4" s="1"/>
  <c r="D48" i="4" s="1"/>
  <c r="E48" i="4" s="1"/>
  <c r="F48" i="4" s="1"/>
  <c r="G48" i="4" s="1"/>
  <c r="H48" i="4" s="1"/>
  <c r="A38" i="4"/>
  <c r="B37" i="4"/>
  <c r="C37" i="4" s="1"/>
  <c r="D37" i="4" s="1"/>
  <c r="E37" i="4" s="1"/>
  <c r="F37" i="4" s="1"/>
  <c r="G37" i="4" s="1"/>
  <c r="H37" i="4" s="1"/>
  <c r="B24" i="4"/>
  <c r="C24" i="4" s="1"/>
  <c r="D24" i="4" s="1"/>
  <c r="E24" i="4" s="1"/>
  <c r="F24" i="4" s="1"/>
  <c r="G24" i="4" s="1"/>
  <c r="H24" i="4" s="1"/>
  <c r="A25" i="4"/>
  <c r="D24" i="3"/>
  <c r="E24" i="3" s="1"/>
  <c r="F24" i="3" s="1"/>
  <c r="G24" i="3" s="1"/>
  <c r="H24" i="3" s="1"/>
  <c r="A25" i="3" s="1"/>
  <c r="B24" i="3"/>
  <c r="C24" i="3" s="1"/>
  <c r="X23" i="2"/>
  <c r="Y23" i="2" s="1"/>
  <c r="Z23" i="2" s="1"/>
  <c r="S24" i="2" s="1"/>
  <c r="T24" i="2" s="1"/>
  <c r="U24" i="2" s="1"/>
  <c r="T23" i="2"/>
  <c r="U23" i="2" s="1"/>
  <c r="C5" i="1"/>
  <c r="D5" i="1" s="1"/>
  <c r="E5" i="1"/>
  <c r="F5" i="1" s="1"/>
  <c r="G5" i="1" s="1"/>
  <c r="H5" i="1" s="1"/>
  <c r="I5" i="1" s="1"/>
  <c r="B6" i="1" s="1"/>
  <c r="C4" i="1"/>
  <c r="D4" i="1" s="1"/>
  <c r="A33" i="7" l="1"/>
  <c r="B32" i="7"/>
  <c r="C32" i="7" s="1"/>
  <c r="D32" i="7" s="1"/>
  <c r="E32" i="7" s="1"/>
  <c r="F32" i="7" s="1"/>
  <c r="G32" i="7" s="1"/>
  <c r="H32" i="7" s="1"/>
  <c r="I32" i="7" s="1"/>
  <c r="J32" i="7" s="1"/>
  <c r="K32" i="7" s="1"/>
  <c r="L32" i="7" s="1"/>
  <c r="M32" i="7" s="1"/>
  <c r="N32" i="7" s="1"/>
  <c r="B40" i="7"/>
  <c r="C40" i="7" s="1"/>
  <c r="D40" i="7" s="1"/>
  <c r="E40" i="7" s="1"/>
  <c r="F40" i="7" s="1"/>
  <c r="G40" i="7" s="1"/>
  <c r="H40" i="7" s="1"/>
  <c r="I40" i="7" s="1"/>
  <c r="J40" i="7" s="1"/>
  <c r="K40" i="7" s="1"/>
  <c r="L40" i="7" s="1"/>
  <c r="M40" i="7" s="1"/>
  <c r="N40" i="7" s="1"/>
  <c r="A49" i="7"/>
  <c r="A41" i="7"/>
  <c r="A25" i="7"/>
  <c r="B24" i="7"/>
  <c r="C24" i="7" s="1"/>
  <c r="D24" i="7" s="1"/>
  <c r="E24" i="7" s="1"/>
  <c r="F24" i="7" s="1"/>
  <c r="G24" i="7" s="1"/>
  <c r="H24" i="7" s="1"/>
  <c r="I24" i="7" s="1"/>
  <c r="J24" i="7" s="1"/>
  <c r="K24" i="7" s="1"/>
  <c r="L24" i="7" s="1"/>
  <c r="M24" i="7" s="1"/>
  <c r="N24" i="7" s="1"/>
  <c r="A26" i="5"/>
  <c r="B25" i="5"/>
  <c r="C25" i="5" s="1"/>
  <c r="D25" i="5" s="1"/>
  <c r="E25" i="5" s="1"/>
  <c r="F25" i="5" s="1"/>
  <c r="G25" i="5" s="1"/>
  <c r="H25" i="5" s="1"/>
  <c r="B34" i="6"/>
  <c r="C34" i="6" s="1"/>
  <c r="D34" i="6" s="1"/>
  <c r="E34" i="6" s="1"/>
  <c r="F34" i="6" s="1"/>
  <c r="G34" i="6" s="1"/>
  <c r="H34" i="6" s="1"/>
  <c r="I34" i="6" s="1"/>
  <c r="J34" i="6" s="1"/>
  <c r="A35" i="6"/>
  <c r="A53" i="6"/>
  <c r="B52" i="6"/>
  <c r="C52" i="6" s="1"/>
  <c r="D52" i="6" s="1"/>
  <c r="E52" i="6" s="1"/>
  <c r="F52" i="6" s="1"/>
  <c r="G52" i="6" s="1"/>
  <c r="H52" i="6" s="1"/>
  <c r="I52" i="6" s="1"/>
  <c r="J52" i="6" s="1"/>
  <c r="B43" i="6"/>
  <c r="C43" i="6" s="1"/>
  <c r="D43" i="6" s="1"/>
  <c r="E43" i="6" s="1"/>
  <c r="F43" i="6" s="1"/>
  <c r="G43" i="6" s="1"/>
  <c r="H43" i="6" s="1"/>
  <c r="I43" i="6" s="1"/>
  <c r="J43" i="6" s="1"/>
  <c r="A44" i="6"/>
  <c r="B24" i="6"/>
  <c r="C24" i="6" s="1"/>
  <c r="D24" i="6" s="1"/>
  <c r="E24" i="6" s="1"/>
  <c r="F24" i="6" s="1"/>
  <c r="G24" i="6" s="1"/>
  <c r="H24" i="6" s="1"/>
  <c r="I24" i="6" s="1"/>
  <c r="J24" i="6" s="1"/>
  <c r="A25" i="6"/>
  <c r="A39" i="4"/>
  <c r="B38" i="4"/>
  <c r="C38" i="4" s="1"/>
  <c r="D38" i="4" s="1"/>
  <c r="E38" i="4" s="1"/>
  <c r="F38" i="4" s="1"/>
  <c r="G38" i="4" s="1"/>
  <c r="H38" i="4" s="1"/>
  <c r="B49" i="4"/>
  <c r="C49" i="4" s="1"/>
  <c r="D49" i="4" s="1"/>
  <c r="E49" i="4" s="1"/>
  <c r="F49" i="4" s="1"/>
  <c r="G49" i="4" s="1"/>
  <c r="H49" i="4" s="1"/>
  <c r="A50" i="4"/>
  <c r="A26" i="4"/>
  <c r="B25" i="4"/>
  <c r="C25" i="4" s="1"/>
  <c r="D25" i="4" s="1"/>
  <c r="E25" i="4" s="1"/>
  <c r="F25" i="4" s="1"/>
  <c r="G25" i="4" s="1"/>
  <c r="H25" i="4" s="1"/>
  <c r="D25" i="3"/>
  <c r="E25" i="3" s="1"/>
  <c r="F25" i="3" s="1"/>
  <c r="G25" i="3" s="1"/>
  <c r="H25" i="3" s="1"/>
  <c r="B25" i="3"/>
  <c r="C25" i="3" s="1"/>
  <c r="V24" i="2"/>
  <c r="C6" i="1"/>
  <c r="D6" i="1" s="1"/>
  <c r="E6" i="1"/>
  <c r="F6" i="1" s="1"/>
  <c r="G6" i="1" s="1"/>
  <c r="H6" i="1" s="1"/>
  <c r="I6" i="1" s="1"/>
  <c r="B7" i="1" s="1"/>
  <c r="A26" i="7" l="1"/>
  <c r="B26" i="7" s="1"/>
  <c r="C26" i="7" s="1"/>
  <c r="D26" i="7" s="1"/>
  <c r="E26" i="7" s="1"/>
  <c r="F26" i="7" s="1"/>
  <c r="G26" i="7" s="1"/>
  <c r="H26" i="7" s="1"/>
  <c r="I26" i="7" s="1"/>
  <c r="J26" i="7" s="1"/>
  <c r="K26" i="7" s="1"/>
  <c r="L26" i="7" s="1"/>
  <c r="M26" i="7" s="1"/>
  <c r="N26" i="7" s="1"/>
  <c r="B25" i="7"/>
  <c r="C25" i="7" s="1"/>
  <c r="D25" i="7" s="1"/>
  <c r="E25" i="7" s="1"/>
  <c r="F25" i="7" s="1"/>
  <c r="G25" i="7" s="1"/>
  <c r="H25" i="7" s="1"/>
  <c r="I25" i="7" s="1"/>
  <c r="J25" i="7" s="1"/>
  <c r="K25" i="7" s="1"/>
  <c r="L25" i="7" s="1"/>
  <c r="M25" i="7" s="1"/>
  <c r="N25" i="7" s="1"/>
  <c r="B41" i="7"/>
  <c r="C41" i="7" s="1"/>
  <c r="D41" i="7" s="1"/>
  <c r="E41" i="7" s="1"/>
  <c r="F41" i="7" s="1"/>
  <c r="G41" i="7" s="1"/>
  <c r="H41" i="7" s="1"/>
  <c r="I41" i="7" s="1"/>
  <c r="J41" i="7" s="1"/>
  <c r="K41" i="7" s="1"/>
  <c r="L41" i="7" s="1"/>
  <c r="M41" i="7" s="1"/>
  <c r="N41" i="7" s="1"/>
  <c r="A42" i="7"/>
  <c r="A50" i="7"/>
  <c r="B49" i="7"/>
  <c r="C49" i="7" s="1"/>
  <c r="D49" i="7" s="1"/>
  <c r="E49" i="7" s="1"/>
  <c r="F49" i="7" s="1"/>
  <c r="G49" i="7" s="1"/>
  <c r="H49" i="7" s="1"/>
  <c r="I49" i="7" s="1"/>
  <c r="J49" i="7" s="1"/>
  <c r="K49" i="7" s="1"/>
  <c r="L49" i="7" s="1"/>
  <c r="M49" i="7" s="1"/>
  <c r="N49" i="7" s="1"/>
  <c r="A58" i="7"/>
  <c r="A34" i="7"/>
  <c r="B33" i="7"/>
  <c r="C33" i="7" s="1"/>
  <c r="D33" i="7" s="1"/>
  <c r="E33" i="7" s="1"/>
  <c r="F33" i="7" s="1"/>
  <c r="G33" i="7" s="1"/>
  <c r="H33" i="7" s="1"/>
  <c r="I33" i="7" s="1"/>
  <c r="J33" i="7" s="1"/>
  <c r="K33" i="7" s="1"/>
  <c r="L33" i="7" s="1"/>
  <c r="M33" i="7" s="1"/>
  <c r="N33" i="7" s="1"/>
  <c r="B26" i="5"/>
  <c r="C26" i="5" s="1"/>
  <c r="D26" i="5" s="1"/>
  <c r="E26" i="5" s="1"/>
  <c r="F26" i="5" s="1"/>
  <c r="G26" i="5" s="1"/>
  <c r="H26" i="5" s="1"/>
  <c r="A27" i="5"/>
  <c r="B27" i="5" s="1"/>
  <c r="C27" i="5" s="1"/>
  <c r="D27" i="5" s="1"/>
  <c r="E27" i="5" s="1"/>
  <c r="F27" i="5" s="1"/>
  <c r="G27" i="5" s="1"/>
  <c r="H27" i="5" s="1"/>
  <c r="B53" i="6"/>
  <c r="C53" i="6" s="1"/>
  <c r="D53" i="6" s="1"/>
  <c r="E53" i="6" s="1"/>
  <c r="F53" i="6" s="1"/>
  <c r="G53" i="6" s="1"/>
  <c r="H53" i="6" s="1"/>
  <c r="I53" i="6" s="1"/>
  <c r="J53" i="6" s="1"/>
  <c r="A54" i="6"/>
  <c r="A26" i="6"/>
  <c r="B25" i="6"/>
  <c r="C25" i="6" s="1"/>
  <c r="D25" i="6" s="1"/>
  <c r="E25" i="6" s="1"/>
  <c r="F25" i="6" s="1"/>
  <c r="G25" i="6" s="1"/>
  <c r="H25" i="6" s="1"/>
  <c r="I25" i="6" s="1"/>
  <c r="J25" i="6" s="1"/>
  <c r="B44" i="6"/>
  <c r="C44" i="6" s="1"/>
  <c r="D44" i="6" s="1"/>
  <c r="E44" i="6" s="1"/>
  <c r="F44" i="6" s="1"/>
  <c r="G44" i="6" s="1"/>
  <c r="H44" i="6" s="1"/>
  <c r="I44" i="6" s="1"/>
  <c r="J44" i="6" s="1"/>
  <c r="A45" i="6"/>
  <c r="B35" i="6"/>
  <c r="C35" i="6" s="1"/>
  <c r="D35" i="6" s="1"/>
  <c r="E35" i="6" s="1"/>
  <c r="F35" i="6" s="1"/>
  <c r="G35" i="6" s="1"/>
  <c r="H35" i="6" s="1"/>
  <c r="I35" i="6" s="1"/>
  <c r="J35" i="6" s="1"/>
  <c r="A36" i="6"/>
  <c r="A51" i="4"/>
  <c r="B50" i="4"/>
  <c r="C50" i="4" s="1"/>
  <c r="D50" i="4" s="1"/>
  <c r="E50" i="4" s="1"/>
  <c r="F50" i="4" s="1"/>
  <c r="G50" i="4" s="1"/>
  <c r="H50" i="4" s="1"/>
  <c r="B39" i="4"/>
  <c r="C39" i="4" s="1"/>
  <c r="D39" i="4" s="1"/>
  <c r="E39" i="4" s="1"/>
  <c r="F39" i="4" s="1"/>
  <c r="G39" i="4" s="1"/>
  <c r="H39" i="4" s="1"/>
  <c r="A40" i="4"/>
  <c r="B26" i="4"/>
  <c r="C26" i="4" s="1"/>
  <c r="D26" i="4" s="1"/>
  <c r="E26" i="4" s="1"/>
  <c r="F26" i="4" s="1"/>
  <c r="G26" i="4" s="1"/>
  <c r="H26" i="4" s="1"/>
  <c r="A27" i="4"/>
  <c r="D26" i="3"/>
  <c r="E26" i="3" s="1"/>
  <c r="F26" i="3" s="1"/>
  <c r="G26" i="3" s="1"/>
  <c r="H26" i="3" s="1"/>
  <c r="A27" i="3" s="1"/>
  <c r="B26" i="3"/>
  <c r="C26" i="3" s="1"/>
  <c r="X24" i="2"/>
  <c r="Y24" i="2" s="1"/>
  <c r="Z24" i="2" s="1"/>
  <c r="S25" i="2" s="1"/>
  <c r="C7" i="1"/>
  <c r="D7" i="1" s="1"/>
  <c r="E7" i="1"/>
  <c r="F7" i="1" s="1"/>
  <c r="G7" i="1" s="1"/>
  <c r="H7" i="1" s="1"/>
  <c r="I7" i="1" s="1"/>
  <c r="B8" i="1" s="1"/>
  <c r="A35" i="7" l="1"/>
  <c r="B35" i="7" s="1"/>
  <c r="C35" i="7" s="1"/>
  <c r="D35" i="7" s="1"/>
  <c r="E35" i="7" s="1"/>
  <c r="F35" i="7" s="1"/>
  <c r="G35" i="7" s="1"/>
  <c r="H35" i="7" s="1"/>
  <c r="I35" i="7" s="1"/>
  <c r="J35" i="7" s="1"/>
  <c r="K35" i="7" s="1"/>
  <c r="L35" i="7" s="1"/>
  <c r="M35" i="7" s="1"/>
  <c r="N35" i="7" s="1"/>
  <c r="B34" i="7"/>
  <c r="C34" i="7" s="1"/>
  <c r="D34" i="7" s="1"/>
  <c r="E34" i="7" s="1"/>
  <c r="F34" i="7" s="1"/>
  <c r="G34" i="7" s="1"/>
  <c r="H34" i="7" s="1"/>
  <c r="I34" i="7" s="1"/>
  <c r="J34" i="7" s="1"/>
  <c r="K34" i="7" s="1"/>
  <c r="L34" i="7" s="1"/>
  <c r="M34" i="7" s="1"/>
  <c r="N34" i="7" s="1"/>
  <c r="A59" i="7"/>
  <c r="B58" i="7"/>
  <c r="C58" i="7" s="1"/>
  <c r="D58" i="7" s="1"/>
  <c r="E58" i="7" s="1"/>
  <c r="F58" i="7" s="1"/>
  <c r="G58" i="7" s="1"/>
  <c r="H58" i="7" s="1"/>
  <c r="I58" i="7" s="1"/>
  <c r="J58" i="7" s="1"/>
  <c r="K58" i="7" s="1"/>
  <c r="L58" i="7" s="1"/>
  <c r="M58" i="7" s="1"/>
  <c r="N58" i="7" s="1"/>
  <c r="A67" i="7"/>
  <c r="B50" i="7"/>
  <c r="C50" i="7" s="1"/>
  <c r="D50" i="7" s="1"/>
  <c r="E50" i="7" s="1"/>
  <c r="F50" i="7" s="1"/>
  <c r="G50" i="7" s="1"/>
  <c r="H50" i="7" s="1"/>
  <c r="I50" i="7" s="1"/>
  <c r="J50" i="7" s="1"/>
  <c r="K50" i="7" s="1"/>
  <c r="L50" i="7" s="1"/>
  <c r="M50" i="7" s="1"/>
  <c r="N50" i="7" s="1"/>
  <c r="A51" i="7"/>
  <c r="B42" i="7"/>
  <c r="C42" i="7" s="1"/>
  <c r="D42" i="7" s="1"/>
  <c r="E42" i="7" s="1"/>
  <c r="F42" i="7" s="1"/>
  <c r="G42" i="7" s="1"/>
  <c r="H42" i="7" s="1"/>
  <c r="I42" i="7" s="1"/>
  <c r="J42" i="7" s="1"/>
  <c r="K42" i="7" s="1"/>
  <c r="L42" i="7" s="1"/>
  <c r="M42" i="7" s="1"/>
  <c r="N42" i="7" s="1"/>
  <c r="A43" i="7"/>
  <c r="B45" i="6"/>
  <c r="C45" i="6" s="1"/>
  <c r="D45" i="6" s="1"/>
  <c r="E45" i="6" s="1"/>
  <c r="F45" i="6" s="1"/>
  <c r="G45" i="6" s="1"/>
  <c r="H45" i="6" s="1"/>
  <c r="I45" i="6" s="1"/>
  <c r="J45" i="6" s="1"/>
  <c r="A46" i="6"/>
  <c r="B36" i="6"/>
  <c r="C36" i="6" s="1"/>
  <c r="D36" i="6" s="1"/>
  <c r="E36" i="6" s="1"/>
  <c r="F36" i="6" s="1"/>
  <c r="G36" i="6" s="1"/>
  <c r="H36" i="6" s="1"/>
  <c r="I36" i="6" s="1"/>
  <c r="J36" i="6" s="1"/>
  <c r="A37" i="6"/>
  <c r="B37" i="6" s="1"/>
  <c r="C37" i="6" s="1"/>
  <c r="D37" i="6" s="1"/>
  <c r="E37" i="6" s="1"/>
  <c r="F37" i="6" s="1"/>
  <c r="G37" i="6" s="1"/>
  <c r="H37" i="6" s="1"/>
  <c r="I37" i="6" s="1"/>
  <c r="J37" i="6" s="1"/>
  <c r="B26" i="6"/>
  <c r="C26" i="6" s="1"/>
  <c r="D26" i="6" s="1"/>
  <c r="E26" i="6" s="1"/>
  <c r="F26" i="6" s="1"/>
  <c r="G26" i="6" s="1"/>
  <c r="H26" i="6" s="1"/>
  <c r="I26" i="6" s="1"/>
  <c r="J26" i="6" s="1"/>
  <c r="A27" i="6"/>
  <c r="B27" i="6" s="1"/>
  <c r="C27" i="6" s="1"/>
  <c r="D27" i="6" s="1"/>
  <c r="E27" i="6" s="1"/>
  <c r="F27" i="6" s="1"/>
  <c r="G27" i="6" s="1"/>
  <c r="H27" i="6" s="1"/>
  <c r="I27" i="6" s="1"/>
  <c r="J27" i="6" s="1"/>
  <c r="B54" i="6"/>
  <c r="C54" i="6" s="1"/>
  <c r="D54" i="6" s="1"/>
  <c r="E54" i="6" s="1"/>
  <c r="F54" i="6" s="1"/>
  <c r="G54" i="6" s="1"/>
  <c r="H54" i="6" s="1"/>
  <c r="I54" i="6" s="1"/>
  <c r="J54" i="6" s="1"/>
  <c r="A55" i="6"/>
  <c r="B40" i="4"/>
  <c r="C40" i="4" s="1"/>
  <c r="D40" i="4" s="1"/>
  <c r="E40" i="4" s="1"/>
  <c r="F40" i="4" s="1"/>
  <c r="G40" i="4" s="1"/>
  <c r="H40" i="4" s="1"/>
  <c r="A41" i="4"/>
  <c r="A52" i="4"/>
  <c r="B51" i="4"/>
  <c r="C51" i="4" s="1"/>
  <c r="D51" i="4" s="1"/>
  <c r="E51" i="4" s="1"/>
  <c r="F51" i="4" s="1"/>
  <c r="G51" i="4" s="1"/>
  <c r="H51" i="4" s="1"/>
  <c r="A28" i="4"/>
  <c r="B27" i="4"/>
  <c r="C27" i="4" s="1"/>
  <c r="D27" i="4" s="1"/>
  <c r="E27" i="4" s="1"/>
  <c r="F27" i="4" s="1"/>
  <c r="G27" i="4" s="1"/>
  <c r="H27" i="4" s="1"/>
  <c r="D27" i="3"/>
  <c r="E27" i="3" s="1"/>
  <c r="F27" i="3" s="1"/>
  <c r="G27" i="3" s="1"/>
  <c r="H27" i="3" s="1"/>
  <c r="A28" i="3" s="1"/>
  <c r="B27" i="3"/>
  <c r="C27" i="3" s="1"/>
  <c r="V25" i="2"/>
  <c r="T25" i="2"/>
  <c r="U25" i="2" s="1"/>
  <c r="C8" i="1"/>
  <c r="D8" i="1" s="1"/>
  <c r="E8" i="1"/>
  <c r="F8" i="1" s="1"/>
  <c r="G8" i="1" s="1"/>
  <c r="H8" i="1" s="1"/>
  <c r="I8" i="1" s="1"/>
  <c r="B9" i="1" s="1"/>
  <c r="A44" i="7" l="1"/>
  <c r="B44" i="7" s="1"/>
  <c r="C44" i="7" s="1"/>
  <c r="D44" i="7" s="1"/>
  <c r="E44" i="7" s="1"/>
  <c r="F44" i="7" s="1"/>
  <c r="G44" i="7" s="1"/>
  <c r="H44" i="7" s="1"/>
  <c r="I44" i="7" s="1"/>
  <c r="J44" i="7" s="1"/>
  <c r="K44" i="7" s="1"/>
  <c r="L44" i="7" s="1"/>
  <c r="M44" i="7" s="1"/>
  <c r="N44" i="7" s="1"/>
  <c r="B43" i="7"/>
  <c r="C43" i="7" s="1"/>
  <c r="D43" i="7" s="1"/>
  <c r="E43" i="7" s="1"/>
  <c r="F43" i="7" s="1"/>
  <c r="G43" i="7" s="1"/>
  <c r="H43" i="7" s="1"/>
  <c r="I43" i="7" s="1"/>
  <c r="J43" i="7" s="1"/>
  <c r="K43" i="7" s="1"/>
  <c r="L43" i="7" s="1"/>
  <c r="M43" i="7" s="1"/>
  <c r="N43" i="7" s="1"/>
  <c r="A52" i="7"/>
  <c r="B51" i="7"/>
  <c r="C51" i="7" s="1"/>
  <c r="D51" i="7" s="1"/>
  <c r="E51" i="7" s="1"/>
  <c r="F51" i="7" s="1"/>
  <c r="G51" i="7" s="1"/>
  <c r="H51" i="7" s="1"/>
  <c r="I51" i="7" s="1"/>
  <c r="J51" i="7" s="1"/>
  <c r="K51" i="7" s="1"/>
  <c r="L51" i="7" s="1"/>
  <c r="M51" i="7" s="1"/>
  <c r="N51" i="7" s="1"/>
  <c r="A76" i="7"/>
  <c r="A68" i="7"/>
  <c r="B67" i="7"/>
  <c r="C67" i="7" s="1"/>
  <c r="D67" i="7" s="1"/>
  <c r="E67" i="7" s="1"/>
  <c r="F67" i="7" s="1"/>
  <c r="G67" i="7" s="1"/>
  <c r="H67" i="7" s="1"/>
  <c r="I67" i="7" s="1"/>
  <c r="J67" i="7" s="1"/>
  <c r="K67" i="7" s="1"/>
  <c r="L67" i="7" s="1"/>
  <c r="M67" i="7" s="1"/>
  <c r="N67" i="7" s="1"/>
  <c r="A60" i="7"/>
  <c r="B59" i="7"/>
  <c r="C59" i="7" s="1"/>
  <c r="D59" i="7" s="1"/>
  <c r="E59" i="7" s="1"/>
  <c r="F59" i="7" s="1"/>
  <c r="G59" i="7" s="1"/>
  <c r="H59" i="7" s="1"/>
  <c r="I59" i="7" s="1"/>
  <c r="J59" i="7" s="1"/>
  <c r="K59" i="7" s="1"/>
  <c r="L59" i="7" s="1"/>
  <c r="M59" i="7" s="1"/>
  <c r="N59" i="7" s="1"/>
  <c r="A56" i="6"/>
  <c r="B55" i="6"/>
  <c r="C55" i="6" s="1"/>
  <c r="D55" i="6" s="1"/>
  <c r="E55" i="6" s="1"/>
  <c r="F55" i="6" s="1"/>
  <c r="G55" i="6" s="1"/>
  <c r="H55" i="6" s="1"/>
  <c r="I55" i="6" s="1"/>
  <c r="J55" i="6" s="1"/>
  <c r="A47" i="6"/>
  <c r="B47" i="6" s="1"/>
  <c r="C47" i="6" s="1"/>
  <c r="D47" i="6" s="1"/>
  <c r="E47" i="6" s="1"/>
  <c r="F47" i="6" s="1"/>
  <c r="G47" i="6" s="1"/>
  <c r="H47" i="6" s="1"/>
  <c r="I47" i="6" s="1"/>
  <c r="J47" i="6" s="1"/>
  <c r="B46" i="6"/>
  <c r="C46" i="6" s="1"/>
  <c r="D46" i="6" s="1"/>
  <c r="E46" i="6" s="1"/>
  <c r="F46" i="6" s="1"/>
  <c r="G46" i="6" s="1"/>
  <c r="H46" i="6" s="1"/>
  <c r="I46" i="6" s="1"/>
  <c r="J46" i="6" s="1"/>
  <c r="B52" i="4"/>
  <c r="C52" i="4" s="1"/>
  <c r="D52" i="4" s="1"/>
  <c r="E52" i="4" s="1"/>
  <c r="F52" i="4" s="1"/>
  <c r="G52" i="4" s="1"/>
  <c r="H52" i="4" s="1"/>
  <c r="A53" i="4"/>
  <c r="A42" i="4"/>
  <c r="B41" i="4"/>
  <c r="C41" i="4" s="1"/>
  <c r="D41" i="4" s="1"/>
  <c r="E41" i="4" s="1"/>
  <c r="F41" i="4" s="1"/>
  <c r="G41" i="4" s="1"/>
  <c r="H41" i="4" s="1"/>
  <c r="A29" i="4"/>
  <c r="B28" i="4"/>
  <c r="C28" i="4" s="1"/>
  <c r="D28" i="4" s="1"/>
  <c r="E28" i="4" s="1"/>
  <c r="F28" i="4" s="1"/>
  <c r="G28" i="4" s="1"/>
  <c r="H28" i="4" s="1"/>
  <c r="D28" i="3"/>
  <c r="E28" i="3" s="1"/>
  <c r="F28" i="3" s="1"/>
  <c r="G28" i="3" s="1"/>
  <c r="H28" i="3" s="1"/>
  <c r="A29" i="3" s="1"/>
  <c r="B28" i="3"/>
  <c r="C28" i="3" s="1"/>
  <c r="W25" i="2"/>
  <c r="X25" i="2" s="1"/>
  <c r="Y25" i="2" s="1"/>
  <c r="Z25" i="2" s="1"/>
  <c r="S26" i="2" s="1"/>
  <c r="E9" i="1"/>
  <c r="F9" i="1" s="1"/>
  <c r="G9" i="1" s="1"/>
  <c r="H9" i="1" s="1"/>
  <c r="I9" i="1" s="1"/>
  <c r="B10" i="1" s="1"/>
  <c r="C9" i="1"/>
  <c r="D9" i="1" s="1"/>
  <c r="B60" i="7" l="1"/>
  <c r="C60" i="7" s="1"/>
  <c r="D60" i="7" s="1"/>
  <c r="E60" i="7" s="1"/>
  <c r="F60" i="7" s="1"/>
  <c r="G60" i="7" s="1"/>
  <c r="H60" i="7" s="1"/>
  <c r="I60" i="7" s="1"/>
  <c r="J60" i="7" s="1"/>
  <c r="K60" i="7" s="1"/>
  <c r="L60" i="7" s="1"/>
  <c r="M60" i="7" s="1"/>
  <c r="N60" i="7" s="1"/>
  <c r="A61" i="7"/>
  <c r="A69" i="7"/>
  <c r="B68" i="7"/>
  <c r="C68" i="7" s="1"/>
  <c r="D68" i="7" s="1"/>
  <c r="E68" i="7" s="1"/>
  <c r="F68" i="7" s="1"/>
  <c r="G68" i="7" s="1"/>
  <c r="H68" i="7" s="1"/>
  <c r="I68" i="7" s="1"/>
  <c r="J68" i="7" s="1"/>
  <c r="K68" i="7" s="1"/>
  <c r="L68" i="7" s="1"/>
  <c r="M68" i="7" s="1"/>
  <c r="N68" i="7" s="1"/>
  <c r="A77" i="7"/>
  <c r="B76" i="7"/>
  <c r="C76" i="7" s="1"/>
  <c r="D76" i="7" s="1"/>
  <c r="E76" i="7" s="1"/>
  <c r="F76" i="7" s="1"/>
  <c r="G76" i="7" s="1"/>
  <c r="H76" i="7" s="1"/>
  <c r="I76" i="7" s="1"/>
  <c r="J76" i="7" s="1"/>
  <c r="K76" i="7" s="1"/>
  <c r="L76" i="7" s="1"/>
  <c r="M76" i="7" s="1"/>
  <c r="N76" i="7" s="1"/>
  <c r="A53" i="7"/>
  <c r="B53" i="7" s="1"/>
  <c r="C53" i="7" s="1"/>
  <c r="D53" i="7" s="1"/>
  <c r="E53" i="7" s="1"/>
  <c r="F53" i="7" s="1"/>
  <c r="G53" i="7" s="1"/>
  <c r="H53" i="7" s="1"/>
  <c r="I53" i="7" s="1"/>
  <c r="J53" i="7" s="1"/>
  <c r="K53" i="7" s="1"/>
  <c r="L53" i="7" s="1"/>
  <c r="M53" i="7" s="1"/>
  <c r="N53" i="7" s="1"/>
  <c r="B52" i="7"/>
  <c r="C52" i="7" s="1"/>
  <c r="D52" i="7" s="1"/>
  <c r="E52" i="7" s="1"/>
  <c r="F52" i="7" s="1"/>
  <c r="G52" i="7" s="1"/>
  <c r="H52" i="7" s="1"/>
  <c r="I52" i="7" s="1"/>
  <c r="J52" i="7" s="1"/>
  <c r="K52" i="7" s="1"/>
  <c r="L52" i="7" s="1"/>
  <c r="M52" i="7" s="1"/>
  <c r="N52" i="7" s="1"/>
  <c r="B56" i="6"/>
  <c r="C56" i="6" s="1"/>
  <c r="D56" i="6" s="1"/>
  <c r="E56" i="6" s="1"/>
  <c r="F56" i="6" s="1"/>
  <c r="G56" i="6" s="1"/>
  <c r="H56" i="6" s="1"/>
  <c r="I56" i="6" s="1"/>
  <c r="J56" i="6" s="1"/>
  <c r="A57" i="6"/>
  <c r="B57" i="6" s="1"/>
  <c r="C57" i="6" s="1"/>
  <c r="D57" i="6" s="1"/>
  <c r="E57" i="6" s="1"/>
  <c r="F57" i="6" s="1"/>
  <c r="G57" i="6" s="1"/>
  <c r="H57" i="6" s="1"/>
  <c r="I57" i="6" s="1"/>
  <c r="J57" i="6" s="1"/>
  <c r="B42" i="4"/>
  <c r="C42" i="4" s="1"/>
  <c r="D42" i="4" s="1"/>
  <c r="E42" i="4" s="1"/>
  <c r="F42" i="4" s="1"/>
  <c r="G42" i="4" s="1"/>
  <c r="H42" i="4" s="1"/>
  <c r="A43" i="4"/>
  <c r="B43" i="4" s="1"/>
  <c r="C43" i="4" s="1"/>
  <c r="D43" i="4" s="1"/>
  <c r="E43" i="4" s="1"/>
  <c r="F43" i="4" s="1"/>
  <c r="G43" i="4" s="1"/>
  <c r="H43" i="4" s="1"/>
  <c r="B53" i="4"/>
  <c r="C53" i="4" s="1"/>
  <c r="D53" i="4" s="1"/>
  <c r="E53" i="4" s="1"/>
  <c r="F53" i="4" s="1"/>
  <c r="G53" i="4" s="1"/>
  <c r="H53" i="4" s="1"/>
  <c r="A54" i="4"/>
  <c r="B29" i="4"/>
  <c r="C29" i="4" s="1"/>
  <c r="D29" i="4" s="1"/>
  <c r="E29" i="4" s="1"/>
  <c r="F29" i="4" s="1"/>
  <c r="G29" i="4" s="1"/>
  <c r="H29" i="4" s="1"/>
  <c r="A30" i="4"/>
  <c r="B30" i="4" s="1"/>
  <c r="C30" i="4" s="1"/>
  <c r="D30" i="4" s="1"/>
  <c r="E30" i="4" s="1"/>
  <c r="F30" i="4" s="1"/>
  <c r="G30" i="4" s="1"/>
  <c r="H30" i="4" s="1"/>
  <c r="D29" i="3"/>
  <c r="E29" i="3" s="1"/>
  <c r="F29" i="3" s="1"/>
  <c r="G29" i="3" s="1"/>
  <c r="H29" i="3" s="1"/>
  <c r="B29" i="3"/>
  <c r="C29" i="3" s="1"/>
  <c r="V26" i="2"/>
  <c r="W26" i="2" s="1"/>
  <c r="X26" i="2" s="1"/>
  <c r="Y26" i="2" s="1"/>
  <c r="Z26" i="2" s="1"/>
  <c r="S27" i="2" s="1"/>
  <c r="V27" i="2" s="1"/>
  <c r="W27" i="2" s="1"/>
  <c r="T26" i="2"/>
  <c r="U26" i="2" s="1"/>
  <c r="T27" i="2"/>
  <c r="U27" i="2" s="1"/>
  <c r="C10" i="1"/>
  <c r="D10" i="1" s="1"/>
  <c r="E10" i="1"/>
  <c r="F10" i="1" s="1"/>
  <c r="G10" i="1" s="1"/>
  <c r="H10" i="1" s="1"/>
  <c r="I10" i="1" s="1"/>
  <c r="B11" i="1" s="1"/>
  <c r="A78" i="7" l="1"/>
  <c r="B77" i="7"/>
  <c r="C77" i="7" s="1"/>
  <c r="D77" i="7" s="1"/>
  <c r="E77" i="7" s="1"/>
  <c r="F77" i="7" s="1"/>
  <c r="G77" i="7" s="1"/>
  <c r="H77" i="7" s="1"/>
  <c r="I77" i="7" s="1"/>
  <c r="J77" i="7" s="1"/>
  <c r="K77" i="7" s="1"/>
  <c r="L77" i="7" s="1"/>
  <c r="M77" i="7" s="1"/>
  <c r="N77" i="7" s="1"/>
  <c r="A70" i="7"/>
  <c r="B69" i="7"/>
  <c r="C69" i="7" s="1"/>
  <c r="D69" i="7" s="1"/>
  <c r="E69" i="7" s="1"/>
  <c r="F69" i="7" s="1"/>
  <c r="G69" i="7" s="1"/>
  <c r="H69" i="7" s="1"/>
  <c r="I69" i="7" s="1"/>
  <c r="J69" i="7" s="1"/>
  <c r="K69" i="7" s="1"/>
  <c r="L69" i="7" s="1"/>
  <c r="M69" i="7" s="1"/>
  <c r="N69" i="7" s="1"/>
  <c r="A62" i="7"/>
  <c r="B62" i="7" s="1"/>
  <c r="C62" i="7" s="1"/>
  <c r="D62" i="7" s="1"/>
  <c r="E62" i="7" s="1"/>
  <c r="F62" i="7" s="1"/>
  <c r="G62" i="7" s="1"/>
  <c r="H62" i="7" s="1"/>
  <c r="I62" i="7" s="1"/>
  <c r="J62" i="7" s="1"/>
  <c r="K62" i="7" s="1"/>
  <c r="L62" i="7" s="1"/>
  <c r="M62" i="7" s="1"/>
  <c r="N62" i="7" s="1"/>
  <c r="B61" i="7"/>
  <c r="C61" i="7" s="1"/>
  <c r="D61" i="7" s="1"/>
  <c r="E61" i="7" s="1"/>
  <c r="F61" i="7" s="1"/>
  <c r="G61" i="7" s="1"/>
  <c r="H61" i="7" s="1"/>
  <c r="I61" i="7" s="1"/>
  <c r="J61" i="7" s="1"/>
  <c r="K61" i="7" s="1"/>
  <c r="L61" i="7" s="1"/>
  <c r="M61" i="7" s="1"/>
  <c r="N61" i="7" s="1"/>
  <c r="A55" i="4"/>
  <c r="B54" i="4"/>
  <c r="C54" i="4" s="1"/>
  <c r="D54" i="4" s="1"/>
  <c r="E54" i="4" s="1"/>
  <c r="F54" i="4" s="1"/>
  <c r="G54" i="4" s="1"/>
  <c r="H54" i="4" s="1"/>
  <c r="X27" i="2"/>
  <c r="Y27" i="2" s="1"/>
  <c r="Z27" i="2" s="1"/>
  <c r="S28" i="2" s="1"/>
  <c r="C11" i="1"/>
  <c r="D11" i="1" s="1"/>
  <c r="E11" i="1"/>
  <c r="F11" i="1" s="1"/>
  <c r="G11" i="1" s="1"/>
  <c r="H11" i="1" s="1"/>
  <c r="I11" i="1" s="1"/>
  <c r="D22" i="2"/>
  <c r="B22" i="2"/>
  <c r="C22" i="2" s="1"/>
  <c r="B70" i="7" l="1"/>
  <c r="C70" i="7" s="1"/>
  <c r="D70" i="7" s="1"/>
  <c r="E70" i="7" s="1"/>
  <c r="F70" i="7" s="1"/>
  <c r="G70" i="7" s="1"/>
  <c r="H70" i="7" s="1"/>
  <c r="I70" i="7" s="1"/>
  <c r="J70" i="7" s="1"/>
  <c r="K70" i="7" s="1"/>
  <c r="L70" i="7" s="1"/>
  <c r="M70" i="7" s="1"/>
  <c r="N70" i="7" s="1"/>
  <c r="A71" i="7"/>
  <c r="B71" i="7" s="1"/>
  <c r="C71" i="7" s="1"/>
  <c r="D71" i="7" s="1"/>
  <c r="E71" i="7" s="1"/>
  <c r="F71" i="7" s="1"/>
  <c r="G71" i="7" s="1"/>
  <c r="H71" i="7" s="1"/>
  <c r="I71" i="7" s="1"/>
  <c r="J71" i="7" s="1"/>
  <c r="K71" i="7" s="1"/>
  <c r="L71" i="7" s="1"/>
  <c r="M71" i="7" s="1"/>
  <c r="N71" i="7" s="1"/>
  <c r="A79" i="7"/>
  <c r="B78" i="7"/>
  <c r="C78" i="7" s="1"/>
  <c r="D78" i="7" s="1"/>
  <c r="E78" i="7" s="1"/>
  <c r="F78" i="7" s="1"/>
  <c r="G78" i="7" s="1"/>
  <c r="H78" i="7" s="1"/>
  <c r="I78" i="7" s="1"/>
  <c r="J78" i="7" s="1"/>
  <c r="K78" i="7" s="1"/>
  <c r="L78" i="7" s="1"/>
  <c r="M78" i="7" s="1"/>
  <c r="N78" i="7" s="1"/>
  <c r="B55" i="4"/>
  <c r="C55" i="4" s="1"/>
  <c r="D55" i="4" s="1"/>
  <c r="E55" i="4" s="1"/>
  <c r="F55" i="4" s="1"/>
  <c r="G55" i="4" s="1"/>
  <c r="H55" i="4" s="1"/>
  <c r="A56" i="4"/>
  <c r="B56" i="4" s="1"/>
  <c r="C56" i="4" s="1"/>
  <c r="D56" i="4" s="1"/>
  <c r="E56" i="4" s="1"/>
  <c r="F56" i="4" s="1"/>
  <c r="G56" i="4" s="1"/>
  <c r="H56" i="4" s="1"/>
  <c r="E22" i="2"/>
  <c r="F22" i="2" s="1"/>
  <c r="G22" i="2" s="1"/>
  <c r="H22" i="2" s="1"/>
  <c r="A23" i="2" s="1"/>
  <c r="V28" i="2"/>
  <c r="W28" i="2" s="1"/>
  <c r="T28" i="2"/>
  <c r="U28" i="2" s="1"/>
  <c r="A80" i="7" l="1"/>
  <c r="B80" i="7" s="1"/>
  <c r="C80" i="7" s="1"/>
  <c r="D80" i="7" s="1"/>
  <c r="E80" i="7" s="1"/>
  <c r="F80" i="7" s="1"/>
  <c r="G80" i="7" s="1"/>
  <c r="H80" i="7" s="1"/>
  <c r="I80" i="7" s="1"/>
  <c r="J80" i="7" s="1"/>
  <c r="K80" i="7" s="1"/>
  <c r="L80" i="7" s="1"/>
  <c r="M80" i="7" s="1"/>
  <c r="N80" i="7" s="1"/>
  <c r="B79" i="7"/>
  <c r="C79" i="7" s="1"/>
  <c r="D79" i="7" s="1"/>
  <c r="E79" i="7" s="1"/>
  <c r="F79" i="7" s="1"/>
  <c r="G79" i="7" s="1"/>
  <c r="H79" i="7" s="1"/>
  <c r="I79" i="7" s="1"/>
  <c r="J79" i="7" s="1"/>
  <c r="K79" i="7" s="1"/>
  <c r="L79" i="7" s="1"/>
  <c r="M79" i="7" s="1"/>
  <c r="N79" i="7" s="1"/>
  <c r="X28" i="2"/>
  <c r="Y28" i="2" s="1"/>
  <c r="Z28" i="2" s="1"/>
  <c r="S29" i="2" s="1"/>
  <c r="M22" i="2"/>
  <c r="N22" i="2" s="1"/>
  <c r="K22" i="2"/>
  <c r="L22" i="2" s="1"/>
  <c r="B23" i="2"/>
  <c r="C23" i="2" s="1"/>
  <c r="D23" i="2"/>
  <c r="E23" i="2" s="1"/>
  <c r="F23" i="2" l="1"/>
  <c r="G23" i="2" s="1"/>
  <c r="H23" i="2" s="1"/>
  <c r="A24" i="2" s="1"/>
  <c r="V29" i="2"/>
  <c r="W29" i="2" s="1"/>
  <c r="T29" i="2"/>
  <c r="U29" i="2" s="1"/>
  <c r="O22" i="2"/>
  <c r="P22" i="2" s="1"/>
  <c r="Q22" i="2" s="1"/>
  <c r="J23" i="2" s="1"/>
  <c r="X29" i="2" l="1"/>
  <c r="Y29" i="2" s="1"/>
  <c r="Z29" i="2" s="1"/>
  <c r="S30" i="2" s="1"/>
  <c r="K23" i="2"/>
  <c r="L23" i="2" s="1"/>
  <c r="M23" i="2"/>
  <c r="N23" i="2" s="1"/>
  <c r="B24" i="2"/>
  <c r="C24" i="2" s="1"/>
  <c r="D24" i="2"/>
  <c r="E24" i="2" s="1"/>
  <c r="V30" i="2" l="1"/>
  <c r="W30" i="2" s="1"/>
  <c r="T30" i="2"/>
  <c r="U30" i="2" s="1"/>
  <c r="O23" i="2"/>
  <c r="P23" i="2" s="1"/>
  <c r="Q23" i="2" s="1"/>
  <c r="J24" i="2" s="1"/>
  <c r="F24" i="2"/>
  <c r="G24" i="2" s="1"/>
  <c r="H24" i="2" s="1"/>
  <c r="A25" i="2" s="1"/>
  <c r="X30" i="2" l="1"/>
  <c r="Y30" i="2" s="1"/>
  <c r="Z30" i="2" s="1"/>
  <c r="M24" i="2"/>
  <c r="N24" i="2" s="1"/>
  <c r="K24" i="2"/>
  <c r="L24" i="2" s="1"/>
  <c r="D25" i="2"/>
  <c r="E25" i="2" s="1"/>
  <c r="B25" i="2"/>
  <c r="C25" i="2" s="1"/>
  <c r="O24" i="2" l="1"/>
  <c r="P24" i="2" s="1"/>
  <c r="Q24" i="2" s="1"/>
  <c r="J25" i="2" s="1"/>
  <c r="F25" i="2"/>
  <c r="G25" i="2" s="1"/>
  <c r="H25" i="2" s="1"/>
  <c r="A26" i="2" s="1"/>
  <c r="M25" i="2" l="1"/>
  <c r="N25" i="2" s="1"/>
  <c r="K25" i="2"/>
  <c r="L25" i="2" s="1"/>
  <c r="D26" i="2"/>
  <c r="E26" i="2" s="1"/>
  <c r="B26" i="2"/>
  <c r="C26" i="2" s="1"/>
  <c r="O25" i="2" l="1"/>
  <c r="P25" i="2" s="1"/>
  <c r="Q25" i="2" s="1"/>
  <c r="J26" i="2" s="1"/>
  <c r="F26" i="2"/>
  <c r="G26" i="2" s="1"/>
  <c r="H26" i="2" s="1"/>
  <c r="A27" i="2" s="1"/>
  <c r="K26" i="2" l="1"/>
  <c r="L26" i="2" s="1"/>
  <c r="M26" i="2"/>
  <c r="N26" i="2" s="1"/>
  <c r="B27" i="2"/>
  <c r="C27" i="2" s="1"/>
  <c r="D27" i="2"/>
  <c r="E27" i="2" s="1"/>
  <c r="O26" i="2" l="1"/>
  <c r="P26" i="2" s="1"/>
  <c r="Q26" i="2" s="1"/>
  <c r="J27" i="2" s="1"/>
  <c r="F27" i="2"/>
  <c r="G27" i="2" s="1"/>
  <c r="H27" i="2" s="1"/>
  <c r="A28" i="2" s="1"/>
  <c r="M27" i="2" l="1"/>
  <c r="N27" i="2" s="1"/>
  <c r="K27" i="2"/>
  <c r="L27" i="2" s="1"/>
  <c r="B28" i="2"/>
  <c r="C28" i="2" s="1"/>
  <c r="D28" i="2"/>
  <c r="E28" i="2" s="1"/>
  <c r="O27" i="2" l="1"/>
  <c r="P27" i="2" s="1"/>
  <c r="Q27" i="2" s="1"/>
  <c r="J28" i="2" s="1"/>
  <c r="F28" i="2"/>
  <c r="G28" i="2" s="1"/>
  <c r="H28" i="2" s="1"/>
  <c r="A29" i="2" s="1"/>
  <c r="K28" i="2" l="1"/>
  <c r="L28" i="2" s="1"/>
  <c r="M28" i="2"/>
  <c r="N28" i="2" s="1"/>
  <c r="B29" i="2"/>
  <c r="C29" i="2" s="1"/>
  <c r="D29" i="2"/>
  <c r="E29" i="2" s="1"/>
  <c r="O28" i="2" l="1"/>
  <c r="P28" i="2" s="1"/>
  <c r="Q28" i="2" s="1"/>
  <c r="J29" i="2" s="1"/>
  <c r="F29" i="2"/>
  <c r="G29" i="2" s="1"/>
  <c r="H29" i="2" s="1"/>
  <c r="A30" i="2" s="1"/>
  <c r="M29" i="2" l="1"/>
  <c r="N29" i="2" s="1"/>
  <c r="K29" i="2"/>
  <c r="L29" i="2" s="1"/>
  <c r="D30" i="2"/>
  <c r="E30" i="2" s="1"/>
  <c r="B30" i="2"/>
  <c r="C30" i="2" s="1"/>
  <c r="O29" i="2" l="1"/>
  <c r="P29" i="2" s="1"/>
  <c r="Q29" i="2" s="1"/>
  <c r="J30" i="2" s="1"/>
  <c r="F30" i="2"/>
  <c r="G30" i="2" s="1"/>
  <c r="H30" i="2" s="1"/>
  <c r="A31" i="2" s="1"/>
  <c r="K30" i="2" l="1"/>
  <c r="L30" i="2" s="1"/>
  <c r="M30" i="2"/>
  <c r="N30" i="2" s="1"/>
  <c r="B31" i="2"/>
  <c r="C31" i="2" s="1"/>
  <c r="D31" i="2"/>
  <c r="E31" i="2" s="1"/>
  <c r="O30" i="2" l="1"/>
  <c r="P30" i="2" s="1"/>
  <c r="Q30" i="2" s="1"/>
  <c r="J31" i="2" s="1"/>
  <c r="F31" i="2"/>
  <c r="G31" i="2" s="1"/>
  <c r="H31" i="2" s="1"/>
  <c r="A32" i="2" s="1"/>
  <c r="M31" i="2" l="1"/>
  <c r="N31" i="2" s="1"/>
  <c r="K31" i="2"/>
  <c r="L31" i="2" s="1"/>
  <c r="B32" i="2"/>
  <c r="C32" i="2" s="1"/>
  <c r="D32" i="2"/>
  <c r="E32" i="2" s="1"/>
  <c r="O31" i="2" l="1"/>
  <c r="P31" i="2" s="1"/>
  <c r="Q31" i="2" s="1"/>
  <c r="J32" i="2" s="1"/>
  <c r="F32" i="2"/>
  <c r="G32" i="2" s="1"/>
  <c r="H32" i="2" s="1"/>
  <c r="A33" i="2" s="1"/>
  <c r="M32" i="2" l="1"/>
  <c r="N32" i="2" s="1"/>
  <c r="K32" i="2"/>
  <c r="L32" i="2" s="1"/>
  <c r="B33" i="2"/>
  <c r="C33" i="2" s="1"/>
  <c r="D33" i="2"/>
  <c r="E33" i="2" s="1"/>
  <c r="O32" i="2" l="1"/>
  <c r="P32" i="2" s="1"/>
  <c r="Q32" i="2" s="1"/>
  <c r="J33" i="2" s="1"/>
  <c r="F33" i="2"/>
  <c r="G33" i="2" s="1"/>
  <c r="H33" i="2" s="1"/>
  <c r="A34" i="2" s="1"/>
  <c r="M33" i="2" l="1"/>
  <c r="N33" i="2" s="1"/>
  <c r="K33" i="2"/>
  <c r="L33" i="2" s="1"/>
  <c r="D34" i="2"/>
  <c r="E34" i="2" s="1"/>
  <c r="B34" i="2"/>
  <c r="C34" i="2" s="1"/>
  <c r="O33" i="2" l="1"/>
  <c r="P33" i="2" s="1"/>
  <c r="Q33" i="2" s="1"/>
  <c r="J34" i="2" s="1"/>
  <c r="F34" i="2"/>
  <c r="G34" i="2" s="1"/>
  <c r="H34" i="2" s="1"/>
  <c r="M34" i="2" l="1"/>
  <c r="N34" i="2" s="1"/>
  <c r="K34" i="2"/>
  <c r="L34" i="2" s="1"/>
  <c r="O34" i="2" l="1"/>
  <c r="P34" i="2" s="1"/>
  <c r="Q34" i="2" s="1"/>
</calcChain>
</file>

<file path=xl/sharedStrings.xml><?xml version="1.0" encoding="utf-8"?>
<sst xmlns="http://schemas.openxmlformats.org/spreadsheetml/2006/main" count="393" uniqueCount="66">
  <si>
    <t>Raipur R St.</t>
  </si>
  <si>
    <t>Raipur</t>
  </si>
  <si>
    <t>Nandanvan</t>
  </si>
  <si>
    <t>Telghani</t>
  </si>
  <si>
    <t>Hirapur</t>
  </si>
  <si>
    <t>Cluster</t>
  </si>
  <si>
    <t>First train</t>
  </si>
  <si>
    <t>Last train</t>
  </si>
  <si>
    <t>Walking time 15 minutes</t>
  </si>
  <si>
    <t>Waiting time 15 minutes</t>
  </si>
  <si>
    <t>Next</t>
  </si>
  <si>
    <t>STRATEGY 1 (5 MINUTES)</t>
  </si>
  <si>
    <t>Check</t>
  </si>
  <si>
    <t>Cluster no.</t>
  </si>
  <si>
    <t>-</t>
  </si>
  <si>
    <t>Khamtarai</t>
  </si>
  <si>
    <t>Bhanpuri</t>
  </si>
  <si>
    <t>Urla</t>
  </si>
  <si>
    <t>BUS NO -1</t>
  </si>
  <si>
    <t>Raipur R. Stn</t>
  </si>
  <si>
    <t>Cluster no</t>
  </si>
  <si>
    <t>BUS-2</t>
  </si>
  <si>
    <t>BUS-3</t>
  </si>
  <si>
    <t>BUS NO -3</t>
  </si>
  <si>
    <t>BUS NO -2</t>
  </si>
  <si>
    <t>Correction</t>
  </si>
  <si>
    <t>Strategy 1</t>
  </si>
  <si>
    <t>BUS-1</t>
  </si>
  <si>
    <t>Telibandha</t>
  </si>
  <si>
    <t>Mandirhasud</t>
  </si>
  <si>
    <t>Khurud-2</t>
  </si>
  <si>
    <t>Chandkhuri</t>
  </si>
  <si>
    <t>Khururd-2</t>
  </si>
  <si>
    <t>BUS-4</t>
  </si>
  <si>
    <t>Fafadih</t>
  </si>
  <si>
    <t>Mandhar</t>
  </si>
  <si>
    <t>Silyari</t>
  </si>
  <si>
    <t>Pandri bus Stand</t>
  </si>
  <si>
    <t>Avanti Chowk</t>
  </si>
  <si>
    <t>Mova Zero Point</t>
  </si>
  <si>
    <t>Vidhan sabha</t>
  </si>
  <si>
    <t>DondeKela</t>
  </si>
  <si>
    <t>Kharora</t>
  </si>
  <si>
    <t>BUS-5</t>
  </si>
  <si>
    <t>BUS-6</t>
  </si>
  <si>
    <t>BUS-7</t>
  </si>
  <si>
    <t>Correction II</t>
  </si>
  <si>
    <t>Strategy 2</t>
  </si>
  <si>
    <t>Strategy 1   :</t>
  </si>
  <si>
    <t>Strategy 2   :</t>
  </si>
  <si>
    <t>Strategy 1  :</t>
  </si>
  <si>
    <t>Strategy 1     :</t>
  </si>
  <si>
    <t>Strategy 3</t>
  </si>
  <si>
    <t>Strategy 2  :</t>
  </si>
  <si>
    <t>Strategy 3  :</t>
  </si>
  <si>
    <t>Strategy 1 (maxm. Offset 20min)</t>
  </si>
  <si>
    <t>Correction III</t>
  </si>
  <si>
    <t>BUS 1</t>
  </si>
  <si>
    <t>BUS 2</t>
  </si>
  <si>
    <t>Strategy 4</t>
  </si>
  <si>
    <t>BUS 3</t>
  </si>
  <si>
    <t>BUS 4</t>
  </si>
  <si>
    <t>BUS BLOCKAGE</t>
  </si>
  <si>
    <t>BUS 5</t>
  </si>
  <si>
    <t>BUS 6</t>
  </si>
  <si>
    <t>BUS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</si>
</sst>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2" formatCode="h&quot;:&quot;mm&quot; &quot;AM/PM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name val="Arial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</font>
  </fonts>
  <fills count="3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rgb="FFFFE599"/>
      </patternFill>
    </fill>
    <fill>
      <patternFill patternType="solid">
        <fgColor theme="5" tint="0.79998168889431442"/>
        <bgColor rgb="FFEA9999"/>
      </patternFill>
    </fill>
    <fill>
      <patternFill patternType="solid">
        <fgColor theme="7" tint="0.79998168889431442"/>
        <bgColor rgb="FFF9CB9C"/>
      </patternFill>
    </fill>
    <fill>
      <patternFill patternType="solid">
        <fgColor theme="5" tint="0.39997558519241921"/>
        <bgColor rgb="FFEA9999"/>
      </patternFill>
    </fill>
    <fill>
      <patternFill patternType="solid">
        <fgColor theme="5" tint="0.79998168889431442"/>
        <bgColor rgb="FFF4CCCC"/>
      </patternFill>
    </fill>
    <fill>
      <patternFill patternType="solid">
        <fgColor theme="5" tint="0.39997558519241921"/>
        <bgColor rgb="FFF4CCCC"/>
      </patternFill>
    </fill>
    <fill>
      <patternFill patternType="solid">
        <fgColor theme="9" tint="0.39997558519241921"/>
        <bgColor rgb="FFE6B8AF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rgb="FFE06666"/>
      </patternFill>
    </fill>
    <fill>
      <patternFill patternType="solid">
        <fgColor theme="7" tint="0.79998168889431442"/>
        <bgColor rgb="FFEA9999"/>
      </patternFill>
    </fill>
    <fill>
      <patternFill patternType="solid">
        <fgColor theme="5" tint="0.79998168889431442"/>
        <bgColor rgb="FFFFE599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7" tint="0.79998168889431442"/>
        <bgColor rgb="FFF3F3F3"/>
      </patternFill>
    </fill>
    <fill>
      <patternFill patternType="solid">
        <fgColor theme="5" tint="0.79998168889431442"/>
        <bgColor rgb="FFEAD1DC"/>
      </patternFill>
    </fill>
    <fill>
      <patternFill patternType="solid">
        <fgColor theme="5" tint="0.39997558519241921"/>
        <bgColor rgb="FFFFD966"/>
      </patternFill>
    </fill>
    <fill>
      <patternFill patternType="solid">
        <fgColor theme="9" tint="0.39997558519241921"/>
        <bgColor rgb="FFEA9999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rgb="FF7F7F7F"/>
      </right>
      <top/>
      <bottom style="thin">
        <color rgb="FF7F7F7F"/>
      </bottom>
      <diagonal/>
    </border>
  </borders>
  <cellStyleXfs count="6">
    <xf numFmtId="0" fontId="0" fillId="0" borderId="0"/>
    <xf numFmtId="0" fontId="3" fillId="13" borderId="8" applyNumberFormat="0" applyAlignment="0" applyProtection="0"/>
    <xf numFmtId="0" fontId="4" fillId="13" borderId="7" applyNumberFormat="0" applyAlignment="0" applyProtection="0"/>
    <xf numFmtId="0" fontId="2" fillId="14" borderId="9" applyNumberFormat="0" applyFont="0" applyAlignment="0" applyProtection="0"/>
    <xf numFmtId="0" fontId="2" fillId="15" borderId="0" applyNumberFormat="0" applyBorder="0" applyAlignment="0" applyProtection="0"/>
    <xf numFmtId="0" fontId="5" fillId="0" borderId="0"/>
  </cellStyleXfs>
  <cellXfs count="140">
    <xf numFmtId="0" fontId="0" fillId="0" borderId="0" xfId="0"/>
    <xf numFmtId="0" fontId="0" fillId="0" borderId="0" xfId="0" applyAlignment="1">
      <alignment horizontal="center"/>
    </xf>
    <xf numFmtId="18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8" fontId="0" fillId="2" borderId="0" xfId="0" applyNumberFormat="1" applyFill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18" fontId="0" fillId="3" borderId="1" xfId="0" applyNumberFormat="1" applyFill="1" applyBorder="1" applyAlignment="1">
      <alignment horizontal="center"/>
    </xf>
    <xf numFmtId="18" fontId="0" fillId="5" borderId="1" xfId="0" applyNumberFormat="1" applyFill="1" applyBorder="1" applyAlignment="1">
      <alignment horizontal="center"/>
    </xf>
    <xf numFmtId="18" fontId="0" fillId="2" borderId="1" xfId="0" applyNumberFormat="1" applyFill="1" applyBorder="1" applyAlignment="1">
      <alignment horizontal="center"/>
    </xf>
    <xf numFmtId="18" fontId="0" fillId="6" borderId="0" xfId="0" applyNumberFormat="1" applyFill="1" applyAlignment="1">
      <alignment horizontal="center"/>
    </xf>
    <xf numFmtId="0" fontId="0" fillId="7" borderId="0" xfId="0" applyFill="1" applyAlignment="1">
      <alignment horizontal="center"/>
    </xf>
    <xf numFmtId="0" fontId="0" fillId="6" borderId="0" xfId="0" applyFill="1" applyAlignment="1">
      <alignment horizontal="center"/>
    </xf>
    <xf numFmtId="18" fontId="0" fillId="9" borderId="3" xfId="0" applyNumberFormat="1" applyFill="1" applyBorder="1" applyAlignment="1">
      <alignment horizontal="center"/>
    </xf>
    <xf numFmtId="0" fontId="1" fillId="6" borderId="4" xfId="0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0" fillId="0" borderId="0" xfId="0" applyBorder="1"/>
    <xf numFmtId="0" fontId="0" fillId="10" borderId="0" xfId="0" applyFill="1" applyAlignment="1">
      <alignment horizontal="center"/>
    </xf>
    <xf numFmtId="18" fontId="0" fillId="11" borderId="0" xfId="0" applyNumberFormat="1" applyFill="1" applyAlignment="1">
      <alignment horizontal="center"/>
    </xf>
    <xf numFmtId="18" fontId="0" fillId="0" borderId="0" xfId="0" applyNumberFormat="1" applyFill="1" applyAlignment="1">
      <alignment horizontal="center"/>
    </xf>
    <xf numFmtId="0" fontId="0" fillId="0" borderId="0" xfId="0" applyFill="1" applyAlignment="1">
      <alignment horizontal="center" vertical="center" textRotation="255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18" fontId="0" fillId="8" borderId="1" xfId="0" applyNumberFormat="1" applyFont="1" applyFill="1" applyBorder="1" applyAlignment="1">
      <alignment horizontal="center"/>
    </xf>
    <xf numFmtId="18" fontId="0" fillId="12" borderId="1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vertical="center"/>
    </xf>
    <xf numFmtId="0" fontId="4" fillId="13" borderId="7" xfId="2" applyAlignment="1">
      <alignment horizontal="center" vertical="center"/>
    </xf>
    <xf numFmtId="0" fontId="4" fillId="13" borderId="7" xfId="2" applyAlignment="1">
      <alignment horizontal="center"/>
    </xf>
    <xf numFmtId="18" fontId="4" fillId="13" borderId="7" xfId="2" applyNumberFormat="1" applyAlignment="1">
      <alignment horizontal="center"/>
    </xf>
    <xf numFmtId="49" fontId="4" fillId="13" borderId="7" xfId="2" applyNumberFormat="1" applyAlignment="1">
      <alignment horizontal="center"/>
    </xf>
    <xf numFmtId="0" fontId="3" fillId="13" borderId="8" xfId="1" applyAlignment="1">
      <alignment horizontal="center" vertical="center" textRotation="255"/>
    </xf>
    <xf numFmtId="21" fontId="0" fillId="0" borderId="0" xfId="0" applyNumberFormat="1" applyFill="1" applyAlignment="1">
      <alignment horizontal="center"/>
    </xf>
    <xf numFmtId="18" fontId="0" fillId="16" borderId="0" xfId="0" applyNumberFormat="1" applyFill="1" applyAlignment="1">
      <alignment horizontal="center"/>
    </xf>
    <xf numFmtId="18" fontId="0" fillId="0" borderId="0" xfId="0" applyNumberFormat="1"/>
    <xf numFmtId="172" fontId="7" fillId="17" borderId="0" xfId="0" applyNumberFormat="1" applyFont="1" applyFill="1" applyBorder="1" applyAlignment="1">
      <alignment horizontal="center"/>
    </xf>
    <xf numFmtId="0" fontId="10" fillId="19" borderId="13" xfId="0" applyFont="1" applyFill="1" applyBorder="1" applyAlignment="1">
      <alignment horizontal="center"/>
    </xf>
    <xf numFmtId="0" fontId="10" fillId="18" borderId="13" xfId="0" applyFont="1" applyFill="1" applyBorder="1" applyAlignment="1">
      <alignment horizontal="center"/>
    </xf>
    <xf numFmtId="0" fontId="4" fillId="13" borderId="7" xfId="2" applyFont="1" applyAlignment="1">
      <alignment horizontal="center"/>
    </xf>
    <xf numFmtId="172" fontId="0" fillId="17" borderId="0" xfId="0" applyNumberFormat="1" applyFont="1" applyFill="1" applyBorder="1" applyAlignment="1">
      <alignment horizontal="center"/>
    </xf>
    <xf numFmtId="172" fontId="0" fillId="18" borderId="0" xfId="0" applyNumberFormat="1" applyFont="1" applyFill="1" applyBorder="1" applyAlignment="1">
      <alignment horizontal="center"/>
    </xf>
    <xf numFmtId="172" fontId="0" fillId="20" borderId="0" xfId="0" applyNumberFormat="1" applyFont="1" applyFill="1" applyBorder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/>
    </xf>
    <xf numFmtId="0" fontId="3" fillId="13" borderId="8" xfId="1" applyAlignment="1">
      <alignment horizontal="center"/>
    </xf>
    <xf numFmtId="172" fontId="7" fillId="21" borderId="0" xfId="0" applyNumberFormat="1" applyFont="1" applyFill="1" applyBorder="1" applyAlignment="1">
      <alignment horizontal="center"/>
    </xf>
    <xf numFmtId="172" fontId="7" fillId="22" borderId="0" xfId="0" applyNumberFormat="1" applyFont="1" applyFill="1" applyBorder="1" applyAlignment="1">
      <alignment horizontal="center"/>
    </xf>
    <xf numFmtId="0" fontId="6" fillId="19" borderId="13" xfId="0" applyFont="1" applyFill="1" applyBorder="1" applyAlignment="1">
      <alignment horizontal="center"/>
    </xf>
    <xf numFmtId="0" fontId="6" fillId="18" borderId="13" xfId="0" applyFont="1" applyFill="1" applyBorder="1" applyAlignment="1">
      <alignment horizontal="center"/>
    </xf>
    <xf numFmtId="0" fontId="8" fillId="24" borderId="0" xfId="0" applyFont="1" applyFill="1" applyAlignment="1">
      <alignment horizontal="center"/>
    </xf>
    <xf numFmtId="0" fontId="11" fillId="23" borderId="0" xfId="0" applyFont="1" applyFill="1" applyAlignment="1">
      <alignment horizontal="center"/>
    </xf>
    <xf numFmtId="0" fontId="11" fillId="24" borderId="0" xfId="0" applyFont="1" applyFill="1" applyAlignment="1">
      <alignment horizontal="center"/>
    </xf>
    <xf numFmtId="46" fontId="0" fillId="0" borderId="0" xfId="0" applyNumberFormat="1"/>
    <xf numFmtId="46" fontId="0" fillId="0" borderId="0" xfId="0" applyNumberFormat="1" applyAlignment="1">
      <alignment horizontal="center"/>
    </xf>
    <xf numFmtId="0" fontId="4" fillId="13" borderId="14" xfId="2" applyBorder="1" applyAlignment="1">
      <alignment horizontal="center"/>
    </xf>
    <xf numFmtId="0" fontId="4" fillId="13" borderId="7" xfId="2" applyAlignment="1">
      <alignment horizontal="center"/>
    </xf>
    <xf numFmtId="19" fontId="4" fillId="13" borderId="7" xfId="2" applyNumberFormat="1" applyAlignment="1">
      <alignment horizontal="center"/>
    </xf>
    <xf numFmtId="46" fontId="4" fillId="13" borderId="7" xfId="2" applyNumberFormat="1" applyAlignment="1">
      <alignment horizontal="center"/>
    </xf>
    <xf numFmtId="0" fontId="4" fillId="13" borderId="15" xfId="2" applyBorder="1" applyAlignment="1">
      <alignment horizontal="center"/>
    </xf>
    <xf numFmtId="0" fontId="1" fillId="0" borderId="0" xfId="0" applyFont="1"/>
    <xf numFmtId="172" fontId="11" fillId="12" borderId="7" xfId="2" applyNumberFormat="1" applyFont="1" applyFill="1" applyAlignment="1">
      <alignment horizontal="center"/>
    </xf>
    <xf numFmtId="18" fontId="11" fillId="12" borderId="7" xfId="2" applyNumberFormat="1" applyFont="1" applyFill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Font="1" applyFill="1" applyAlignment="1">
      <alignment horizontal="center"/>
    </xf>
    <xf numFmtId="0" fontId="10" fillId="25" borderId="13" xfId="0" applyFont="1" applyFill="1" applyBorder="1" applyAlignment="1">
      <alignment horizontal="center"/>
    </xf>
    <xf numFmtId="0" fontId="4" fillId="13" borderId="14" xfId="2" applyBorder="1" applyAlignment="1">
      <alignment horizontal="center"/>
    </xf>
    <xf numFmtId="0" fontId="4" fillId="13" borderId="15" xfId="2" applyBorder="1" applyAlignment="1">
      <alignment horizontal="center"/>
    </xf>
    <xf numFmtId="0" fontId="4" fillId="13" borderId="16" xfId="2" applyBorder="1" applyAlignment="1">
      <alignment horizontal="center"/>
    </xf>
    <xf numFmtId="0" fontId="0" fillId="0" borderId="0" xfId="0" applyFill="1"/>
    <xf numFmtId="0" fontId="0" fillId="0" borderId="0" xfId="0" applyFill="1" applyBorder="1"/>
    <xf numFmtId="172" fontId="7" fillId="0" borderId="0" xfId="0" applyNumberFormat="1" applyFont="1" applyFill="1" applyBorder="1" applyAlignment="1">
      <alignment horizontal="center"/>
    </xf>
    <xf numFmtId="0" fontId="12" fillId="0" borderId="0" xfId="0" applyFont="1"/>
    <xf numFmtId="172" fontId="12" fillId="26" borderId="0" xfId="0" applyNumberFormat="1" applyFont="1" applyFill="1" applyAlignment="1">
      <alignment horizontal="center"/>
    </xf>
    <xf numFmtId="172" fontId="12" fillId="27" borderId="0" xfId="0" applyNumberFormat="1" applyFont="1" applyFill="1" applyAlignment="1">
      <alignment horizontal="center"/>
    </xf>
    <xf numFmtId="172" fontId="12" fillId="28" borderId="0" xfId="0" applyNumberFormat="1" applyFont="1" applyFill="1" applyAlignment="1">
      <alignment horizontal="center"/>
    </xf>
    <xf numFmtId="0" fontId="9" fillId="26" borderId="10" xfId="0" applyFont="1" applyFill="1" applyBorder="1" applyAlignment="1">
      <alignment horizontal="center"/>
    </xf>
    <xf numFmtId="0" fontId="9" fillId="26" borderId="11" xfId="0" applyFont="1" applyFill="1" applyBorder="1" applyAlignment="1">
      <alignment horizontal="center"/>
    </xf>
    <xf numFmtId="0" fontId="9" fillId="27" borderId="11" xfId="0" applyFont="1" applyFill="1" applyBorder="1" applyAlignment="1">
      <alignment horizontal="center"/>
    </xf>
    <xf numFmtId="0" fontId="9" fillId="27" borderId="12" xfId="0" applyFont="1" applyFill="1" applyBorder="1" applyAlignment="1">
      <alignment horizontal="center"/>
    </xf>
    <xf numFmtId="0" fontId="12" fillId="24" borderId="0" xfId="0" applyFont="1" applyFill="1" applyAlignment="1">
      <alignment horizontal="center"/>
    </xf>
    <xf numFmtId="0" fontId="10" fillId="32" borderId="0" xfId="0" applyFont="1" applyFill="1" applyAlignment="1">
      <alignment horizontal="center"/>
    </xf>
    <xf numFmtId="172" fontId="0" fillId="29" borderId="0" xfId="0" applyNumberFormat="1" applyFont="1" applyFill="1" applyAlignment="1">
      <alignment horizontal="center"/>
    </xf>
    <xf numFmtId="172" fontId="0" fillId="30" borderId="0" xfId="0" applyNumberFormat="1" applyFont="1" applyFill="1" applyAlignment="1">
      <alignment horizontal="center"/>
    </xf>
    <xf numFmtId="172" fontId="0" fillId="31" borderId="0" xfId="0" applyNumberFormat="1" applyFont="1" applyFill="1" applyAlignment="1">
      <alignment horizontal="center"/>
    </xf>
    <xf numFmtId="0" fontId="11" fillId="29" borderId="10" xfId="0" applyFont="1" applyFill="1" applyBorder="1" applyAlignment="1">
      <alignment horizontal="center"/>
    </xf>
    <xf numFmtId="0" fontId="11" fillId="29" borderId="11" xfId="0" applyFont="1" applyFill="1" applyBorder="1" applyAlignment="1">
      <alignment horizontal="center"/>
    </xf>
    <xf numFmtId="0" fontId="11" fillId="30" borderId="11" xfId="0" applyFont="1" applyFill="1" applyBorder="1" applyAlignment="1">
      <alignment horizontal="center"/>
    </xf>
    <xf numFmtId="0" fontId="11" fillId="30" borderId="12" xfId="0" applyFont="1" applyFill="1" applyBorder="1" applyAlignment="1">
      <alignment horizontal="center"/>
    </xf>
    <xf numFmtId="172" fontId="0" fillId="31" borderId="0" xfId="0" applyNumberFormat="1" applyFont="1" applyFill="1" applyAlignment="1">
      <alignment horizontal="center" vertical="top"/>
    </xf>
    <xf numFmtId="0" fontId="10" fillId="29" borderId="10" xfId="0" applyFont="1" applyFill="1" applyBorder="1" applyAlignment="1">
      <alignment horizontal="center" vertical="center"/>
    </xf>
    <xf numFmtId="0" fontId="10" fillId="29" borderId="11" xfId="0" applyFont="1" applyFill="1" applyBorder="1" applyAlignment="1">
      <alignment horizontal="center" vertical="center" wrapText="1"/>
    </xf>
    <xf numFmtId="0" fontId="10" fillId="30" borderId="11" xfId="0" applyFont="1" applyFill="1" applyBorder="1" applyAlignment="1">
      <alignment horizontal="center" vertical="center" wrapText="1"/>
    </xf>
    <xf numFmtId="0" fontId="10" fillId="30" borderId="12" xfId="0" applyFont="1" applyFill="1" applyBorder="1" applyAlignment="1">
      <alignment horizontal="center" vertical="center" wrapText="1"/>
    </xf>
    <xf numFmtId="0" fontId="10" fillId="29" borderId="10" xfId="0" applyFont="1" applyFill="1" applyBorder="1" applyAlignment="1">
      <alignment horizontal="center" vertical="center" wrapText="1"/>
    </xf>
    <xf numFmtId="0" fontId="10" fillId="30" borderId="13" xfId="0" applyFont="1" applyFill="1" applyBorder="1" applyAlignment="1">
      <alignment horizontal="center" vertical="center" wrapText="1"/>
    </xf>
    <xf numFmtId="172" fontId="0" fillId="0" borderId="0" xfId="0" applyNumberFormat="1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4" fillId="13" borderId="7" xfId="2" applyAlignment="1">
      <alignment horizontal="center" vertical="center" wrapText="1"/>
    </xf>
    <xf numFmtId="46" fontId="4" fillId="13" borderId="7" xfId="2" applyNumberFormat="1" applyAlignment="1">
      <alignment horizontal="center" vertical="center"/>
    </xf>
    <xf numFmtId="18" fontId="4" fillId="13" borderId="7" xfId="2" applyNumberFormat="1" applyAlignment="1">
      <alignment horizontal="center" vertical="center"/>
    </xf>
    <xf numFmtId="0" fontId="4" fillId="13" borderId="14" xfId="2" applyBorder="1" applyAlignment="1">
      <alignment horizontal="center" vertical="center"/>
    </xf>
    <xf numFmtId="0" fontId="4" fillId="13" borderId="16" xfId="2" applyBorder="1" applyAlignment="1">
      <alignment horizontal="center" vertical="center"/>
    </xf>
    <xf numFmtId="0" fontId="4" fillId="13" borderId="15" xfId="2" applyBorder="1" applyAlignment="1">
      <alignment horizontal="center" vertical="center"/>
    </xf>
    <xf numFmtId="18" fontId="11" fillId="24" borderId="7" xfId="2" applyNumberFormat="1" applyFont="1" applyFill="1" applyAlignment="1">
      <alignment horizontal="center" vertical="center"/>
    </xf>
    <xf numFmtId="18" fontId="11" fillId="24" borderId="7" xfId="2" applyNumberFormat="1" applyFont="1" applyFill="1" applyAlignment="1">
      <alignment horizontal="center"/>
    </xf>
    <xf numFmtId="0" fontId="11" fillId="0" borderId="0" xfId="0" applyFont="1" applyFill="1"/>
    <xf numFmtId="0" fontId="1" fillId="14" borderId="17" xfId="3" applyFont="1" applyBorder="1" applyAlignment="1">
      <alignment horizontal="center"/>
    </xf>
    <xf numFmtId="46" fontId="1" fillId="14" borderId="18" xfId="3" applyNumberFormat="1" applyFont="1" applyBorder="1" applyAlignment="1">
      <alignment horizontal="center"/>
    </xf>
    <xf numFmtId="0" fontId="1" fillId="14" borderId="21" xfId="3" applyFont="1" applyBorder="1" applyAlignment="1">
      <alignment horizontal="center"/>
    </xf>
    <xf numFmtId="46" fontId="1" fillId="14" borderId="22" xfId="3" applyNumberFormat="1" applyFont="1" applyBorder="1" applyAlignment="1">
      <alignment horizontal="center"/>
    </xf>
    <xf numFmtId="0" fontId="1" fillId="14" borderId="19" xfId="3" applyFont="1" applyBorder="1" applyAlignment="1">
      <alignment horizontal="center"/>
    </xf>
    <xf numFmtId="46" fontId="1" fillId="14" borderId="20" xfId="3" applyNumberFormat="1" applyFont="1" applyBorder="1" applyAlignment="1">
      <alignment horizontal="center"/>
    </xf>
    <xf numFmtId="0" fontId="1" fillId="14" borderId="4" xfId="3" applyFont="1" applyBorder="1" applyAlignment="1">
      <alignment horizontal="center"/>
    </xf>
    <xf numFmtId="46" fontId="1" fillId="14" borderId="6" xfId="3" applyNumberFormat="1" applyFont="1" applyBorder="1" applyAlignment="1">
      <alignment horizontal="center"/>
    </xf>
    <xf numFmtId="0" fontId="1" fillId="12" borderId="0" xfId="0" applyFont="1" applyFill="1" applyAlignment="1">
      <alignment horizontal="center"/>
    </xf>
    <xf numFmtId="0" fontId="10" fillId="25" borderId="1" xfId="0" applyFont="1" applyFill="1" applyBorder="1" applyAlignment="1">
      <alignment horizontal="center"/>
    </xf>
    <xf numFmtId="18" fontId="11" fillId="5" borderId="0" xfId="2" applyNumberFormat="1" applyFont="1" applyFill="1" applyBorder="1" applyAlignment="1">
      <alignment horizontal="center"/>
    </xf>
    <xf numFmtId="0" fontId="2" fillId="15" borderId="0" xfId="4" applyBorder="1" applyAlignment="1">
      <alignment horizontal="center"/>
    </xf>
    <xf numFmtId="172" fontId="11" fillId="5" borderId="0" xfId="2" applyNumberFormat="1" applyFont="1" applyFill="1" applyBorder="1" applyAlignment="1">
      <alignment horizontal="center"/>
    </xf>
    <xf numFmtId="0" fontId="4" fillId="13" borderId="24" xfId="2" applyBorder="1" applyAlignment="1">
      <alignment horizontal="center"/>
    </xf>
    <xf numFmtId="0" fontId="4" fillId="13" borderId="23" xfId="2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4" fillId="13" borderId="25" xfId="2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8" fontId="11" fillId="5" borderId="0" xfId="2" applyNumberFormat="1" applyFont="1" applyFill="1" applyBorder="1" applyAlignment="1">
      <alignment horizontal="center" vertical="center"/>
    </xf>
    <xf numFmtId="0" fontId="0" fillId="12" borderId="0" xfId="0" applyFill="1" applyBorder="1" applyAlignment="1">
      <alignment horizontal="center"/>
    </xf>
    <xf numFmtId="0" fontId="4" fillId="13" borderId="23" xfId="2" applyBorder="1"/>
  </cellXfs>
  <cellStyles count="6">
    <cellStyle name="40% - Accent6" xfId="4" builtinId="51"/>
    <cellStyle name="Calculation" xfId="2" builtinId="22"/>
    <cellStyle name="Normal" xfId="0" builtinId="0"/>
    <cellStyle name="Normal 2" xfId="5" xr:uid="{9FB85F57-9A63-4A3A-B942-C7F895A70A7E}"/>
    <cellStyle name="Note" xfId="3" builtinId="10"/>
    <cellStyle name="Output" xfId="1" builtinId="21"/>
  </cellStyles>
  <dxfs count="0"/>
  <tableStyles count="0" defaultTableStyle="TableStyleMedium2" defaultPivotStyle="PivotStyleLight16"/>
  <colors>
    <mruColors>
      <color rgb="FFF8929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08C35-799D-4FF1-866A-CA2DD82DEC61}">
  <sheetPr codeName="Sheet1"/>
  <dimension ref="A3:I30"/>
  <sheetViews>
    <sheetView zoomScale="85" workbookViewId="0">
      <selection activeCell="B3" sqref="B3:I11"/>
    </sheetView>
  </sheetViews>
  <sheetFormatPr defaultRowHeight="14.4" x14ac:dyDescent="0.3"/>
  <cols>
    <col min="1" max="10" width="12.77734375" customWidth="1"/>
  </cols>
  <sheetData>
    <row r="3" spans="1:9" x14ac:dyDescent="0.3">
      <c r="B3" s="3" t="s">
        <v>0</v>
      </c>
      <c r="C3" s="3" t="s">
        <v>3</v>
      </c>
      <c r="D3" s="3" t="s">
        <v>4</v>
      </c>
      <c r="E3" s="3" t="s">
        <v>2</v>
      </c>
      <c r="F3" s="3" t="s">
        <v>2</v>
      </c>
      <c r="G3" s="3" t="s">
        <v>4</v>
      </c>
      <c r="H3" s="3" t="s">
        <v>3</v>
      </c>
      <c r="I3" s="3" t="s">
        <v>1</v>
      </c>
    </row>
    <row r="4" spans="1:9" x14ac:dyDescent="0.3">
      <c r="B4" s="2">
        <f>TIME(7,24,0)</f>
        <v>0.30833333333333335</v>
      </c>
      <c r="C4" s="2">
        <f>TIME(0,6,0)+B4</f>
        <v>0.3125</v>
      </c>
      <c r="D4" s="2">
        <f>TIME(0,18,0)+C4</f>
        <v>0.32500000000000001</v>
      </c>
      <c r="E4" s="2">
        <f t="shared" ref="E4:E11" si="0">B4+TIME(0,40,0)</f>
        <v>0.33611111111111114</v>
      </c>
      <c r="F4" s="2">
        <f>E4+TIME(0,5,0)</f>
        <v>0.33958333333333335</v>
      </c>
      <c r="G4" s="2">
        <f>F4+TIME(0,16,0)</f>
        <v>0.35069444444444448</v>
      </c>
      <c r="H4" s="2">
        <f>G4+TIME(0,18,0)</f>
        <v>0.36319444444444449</v>
      </c>
      <c r="I4" s="2">
        <f>H4+TIME(0,6,0)</f>
        <v>0.36736111111111114</v>
      </c>
    </row>
    <row r="5" spans="1:9" x14ac:dyDescent="0.3">
      <c r="B5" s="2">
        <f>I4+TIME(0,5,0)</f>
        <v>0.37083333333333335</v>
      </c>
      <c r="C5" s="2">
        <f t="shared" ref="C5:C11" si="1">TIME(0,6,0)+B5</f>
        <v>0.375</v>
      </c>
      <c r="D5" s="2">
        <f t="shared" ref="D5:D11" si="2">TIME(0,18,0)+C5</f>
        <v>0.38750000000000001</v>
      </c>
      <c r="E5" s="2">
        <f t="shared" si="0"/>
        <v>0.39861111111111114</v>
      </c>
      <c r="F5" s="2">
        <f t="shared" ref="F5:F11" si="3">E5+TIME(0,5,0)</f>
        <v>0.40208333333333335</v>
      </c>
      <c r="G5" s="2">
        <f t="shared" ref="G5:G11" si="4">F5+TIME(0,16,0)</f>
        <v>0.41319444444444448</v>
      </c>
      <c r="H5" s="2">
        <f t="shared" ref="H5:H11" si="5">G5+TIME(0,18,0)</f>
        <v>0.42569444444444449</v>
      </c>
      <c r="I5" s="2">
        <f t="shared" ref="I5:I11" si="6">H5+TIME(0,6,0)</f>
        <v>0.42986111111111114</v>
      </c>
    </row>
    <row r="6" spans="1:9" x14ac:dyDescent="0.3">
      <c r="B6" s="2">
        <f t="shared" ref="B6:B11" si="7">I5+TIME(0,5,0)</f>
        <v>0.43333333333333335</v>
      </c>
      <c r="C6" s="2">
        <f t="shared" si="1"/>
        <v>0.4375</v>
      </c>
      <c r="D6" s="2">
        <f t="shared" si="2"/>
        <v>0.45</v>
      </c>
      <c r="E6" s="2">
        <f t="shared" si="0"/>
        <v>0.46111111111111114</v>
      </c>
      <c r="F6" s="2">
        <f t="shared" si="3"/>
        <v>0.46458333333333335</v>
      </c>
      <c r="G6" s="2">
        <f t="shared" si="4"/>
        <v>0.47569444444444448</v>
      </c>
      <c r="H6" s="2">
        <f t="shared" si="5"/>
        <v>0.48819444444444449</v>
      </c>
      <c r="I6" s="2">
        <f t="shared" si="6"/>
        <v>0.49236111111111114</v>
      </c>
    </row>
    <row r="7" spans="1:9" x14ac:dyDescent="0.3">
      <c r="B7" s="2">
        <f t="shared" si="7"/>
        <v>0.49583333333333335</v>
      </c>
      <c r="C7" s="2">
        <f t="shared" si="1"/>
        <v>0.5</v>
      </c>
      <c r="D7" s="2">
        <f t="shared" si="2"/>
        <v>0.51249999999999996</v>
      </c>
      <c r="E7" s="2">
        <f t="shared" si="0"/>
        <v>0.52361111111111114</v>
      </c>
      <c r="F7" s="2">
        <f t="shared" si="3"/>
        <v>0.52708333333333335</v>
      </c>
      <c r="G7" s="2">
        <f t="shared" si="4"/>
        <v>0.53819444444444442</v>
      </c>
      <c r="H7" s="2">
        <f t="shared" si="5"/>
        <v>0.55069444444444438</v>
      </c>
      <c r="I7" s="2">
        <f t="shared" si="6"/>
        <v>0.55486111111111103</v>
      </c>
    </row>
    <row r="8" spans="1:9" x14ac:dyDescent="0.3">
      <c r="B8" s="2">
        <f>I7+TIME(0,30,0)</f>
        <v>0.5756944444444444</v>
      </c>
      <c r="C8" s="2">
        <f t="shared" si="1"/>
        <v>0.57986111111111105</v>
      </c>
      <c r="D8" s="2">
        <f t="shared" si="2"/>
        <v>0.59236111111111101</v>
      </c>
      <c r="E8" s="2">
        <f t="shared" si="0"/>
        <v>0.60347222222222219</v>
      </c>
      <c r="F8" s="2">
        <f t="shared" si="3"/>
        <v>0.6069444444444444</v>
      </c>
      <c r="G8" s="2">
        <f t="shared" si="4"/>
        <v>0.61805555555555547</v>
      </c>
      <c r="H8" s="2">
        <f t="shared" si="5"/>
        <v>0.63055555555555542</v>
      </c>
      <c r="I8" s="2">
        <f t="shared" si="6"/>
        <v>0.63472222222222208</v>
      </c>
    </row>
    <row r="9" spans="1:9" x14ac:dyDescent="0.3">
      <c r="B9" s="2">
        <f t="shared" si="7"/>
        <v>0.63819444444444429</v>
      </c>
      <c r="C9" s="2">
        <f t="shared" si="1"/>
        <v>0.64236111111111094</v>
      </c>
      <c r="D9" s="2">
        <f t="shared" si="2"/>
        <v>0.65486111111111089</v>
      </c>
      <c r="E9" s="2">
        <f t="shared" si="0"/>
        <v>0.66597222222222208</v>
      </c>
      <c r="F9" s="2">
        <f t="shared" si="3"/>
        <v>0.66944444444444429</v>
      </c>
      <c r="G9" s="2">
        <f t="shared" si="4"/>
        <v>0.68055555555555536</v>
      </c>
      <c r="H9" s="2">
        <f t="shared" si="5"/>
        <v>0.69305555555555531</v>
      </c>
      <c r="I9" s="2">
        <f t="shared" si="6"/>
        <v>0.69722222222222197</v>
      </c>
    </row>
    <row r="10" spans="1:9" x14ac:dyDescent="0.3">
      <c r="B10" s="2">
        <f t="shared" si="7"/>
        <v>0.70069444444444418</v>
      </c>
      <c r="C10" s="2">
        <f t="shared" si="1"/>
        <v>0.70486111111111083</v>
      </c>
      <c r="D10" s="2">
        <f t="shared" si="2"/>
        <v>0.71736111111111078</v>
      </c>
      <c r="E10" s="2">
        <f t="shared" si="0"/>
        <v>0.72847222222222197</v>
      </c>
      <c r="F10" s="2">
        <f t="shared" si="3"/>
        <v>0.73194444444444418</v>
      </c>
      <c r="G10" s="2">
        <f t="shared" si="4"/>
        <v>0.74305555555555525</v>
      </c>
      <c r="H10" s="2">
        <f t="shared" si="5"/>
        <v>0.7555555555555552</v>
      </c>
      <c r="I10" s="2">
        <f t="shared" si="6"/>
        <v>0.75972222222222185</v>
      </c>
    </row>
    <row r="11" spans="1:9" x14ac:dyDescent="0.3">
      <c r="B11" s="2">
        <f t="shared" si="7"/>
        <v>0.76319444444444406</v>
      </c>
      <c r="C11" s="2">
        <f t="shared" si="1"/>
        <v>0.76736111111111072</v>
      </c>
      <c r="D11" s="2">
        <f t="shared" si="2"/>
        <v>0.77986111111111067</v>
      </c>
      <c r="E11" s="2">
        <f t="shared" si="0"/>
        <v>0.79097222222222185</v>
      </c>
      <c r="F11" s="2">
        <f t="shared" si="3"/>
        <v>0.79444444444444406</v>
      </c>
      <c r="G11" s="2">
        <f t="shared" si="4"/>
        <v>0.80555555555555514</v>
      </c>
      <c r="H11" s="2">
        <f t="shared" si="5"/>
        <v>0.81805555555555509</v>
      </c>
      <c r="I11" s="2">
        <f t="shared" si="6"/>
        <v>0.82222222222222174</v>
      </c>
    </row>
    <row r="13" spans="1:9" x14ac:dyDescent="0.3">
      <c r="A13" s="3" t="s">
        <v>5</v>
      </c>
      <c r="B13" s="3" t="s">
        <v>6</v>
      </c>
      <c r="C13" s="3" t="s">
        <v>7</v>
      </c>
      <c r="D13" s="29" t="s">
        <v>8</v>
      </c>
      <c r="E13" s="29"/>
      <c r="F13" s="29" t="s">
        <v>9</v>
      </c>
      <c r="G13" s="29"/>
      <c r="H13" s="3"/>
      <c r="I13" s="3"/>
    </row>
    <row r="14" spans="1:9" x14ac:dyDescent="0.3">
      <c r="A14" s="1">
        <v>1</v>
      </c>
      <c r="B14" s="2">
        <f>TIME(4,50,0)</f>
        <v>0.20138888888888887</v>
      </c>
      <c r="C14" s="2">
        <f>TIME(5,38,0)</f>
        <v>0.23472222222222219</v>
      </c>
      <c r="D14" s="2">
        <f>B14-TIME(0,15,0)</f>
        <v>0.19097222222222221</v>
      </c>
      <c r="E14" s="2">
        <f>C14-TIME(0,15,0)</f>
        <v>0.22430555555555554</v>
      </c>
      <c r="F14" s="2">
        <f>D14-TIME(0,15,0)</f>
        <v>0.18055555555555555</v>
      </c>
      <c r="G14" s="2">
        <f>E14-TIME(0,15,0)</f>
        <v>0.21388888888888888</v>
      </c>
      <c r="H14" s="1"/>
      <c r="I14" s="1"/>
    </row>
    <row r="15" spans="1:9" x14ac:dyDescent="0.3">
      <c r="A15" s="1">
        <v>2</v>
      </c>
      <c r="B15" s="2">
        <f>TIME(6,0,0)</f>
        <v>0.25</v>
      </c>
      <c r="C15" s="2">
        <f>TIME(7,0,0)</f>
        <v>0.29166666666666669</v>
      </c>
      <c r="D15" s="2">
        <f t="shared" ref="D15:E28" si="8">B15-TIME(0,15,0)</f>
        <v>0.23958333333333334</v>
      </c>
      <c r="E15" s="2">
        <f t="shared" si="8"/>
        <v>0.28125</v>
      </c>
      <c r="F15" s="2">
        <f t="shared" ref="F15:G28" si="9">D15-TIME(0,15,0)</f>
        <v>0.22916666666666669</v>
      </c>
      <c r="G15" s="2">
        <f t="shared" si="9"/>
        <v>0.27083333333333331</v>
      </c>
      <c r="H15" s="1"/>
      <c r="I15" s="1"/>
    </row>
    <row r="16" spans="1:9" x14ac:dyDescent="0.3">
      <c r="A16" s="1">
        <v>3</v>
      </c>
      <c r="B16" s="2">
        <f>TIME(7,15,0)</f>
        <v>0.30208333333333331</v>
      </c>
      <c r="C16" s="2">
        <f>TIME(8,10,0)</f>
        <v>0.34027777777777773</v>
      </c>
      <c r="D16" s="2">
        <f t="shared" si="8"/>
        <v>0.29166666666666663</v>
      </c>
      <c r="E16" s="2">
        <f t="shared" si="8"/>
        <v>0.32986111111111105</v>
      </c>
      <c r="F16" s="2">
        <f t="shared" si="9"/>
        <v>0.28124999999999994</v>
      </c>
      <c r="G16" s="2">
        <f t="shared" si="9"/>
        <v>0.31944444444444436</v>
      </c>
      <c r="H16" s="1"/>
      <c r="I16" s="1"/>
    </row>
    <row r="17" spans="1:9" x14ac:dyDescent="0.3">
      <c r="A17" s="1">
        <v>4</v>
      </c>
      <c r="B17" s="2">
        <f>TIME(9,0,0)</f>
        <v>0.375</v>
      </c>
      <c r="C17" s="2">
        <f>TIME(10,5,0)</f>
        <v>0.4201388888888889</v>
      </c>
      <c r="D17" s="2">
        <f t="shared" si="8"/>
        <v>0.36458333333333331</v>
      </c>
      <c r="E17" s="2">
        <f t="shared" si="8"/>
        <v>0.40972222222222221</v>
      </c>
      <c r="F17" s="2">
        <f t="shared" si="9"/>
        <v>0.35416666666666663</v>
      </c>
      <c r="G17" s="2">
        <f t="shared" si="9"/>
        <v>0.39930555555555552</v>
      </c>
      <c r="H17" s="1"/>
      <c r="I17" s="1"/>
    </row>
    <row r="18" spans="1:9" x14ac:dyDescent="0.3">
      <c r="A18" s="1">
        <v>5</v>
      </c>
      <c r="B18" s="2">
        <f>TIME(10,15,0)</f>
        <v>0.42708333333333331</v>
      </c>
      <c r="C18" s="2">
        <f>TIME(11,15,0)</f>
        <v>0.46875</v>
      </c>
      <c r="D18" s="2">
        <f t="shared" si="8"/>
        <v>0.41666666666666663</v>
      </c>
      <c r="E18" s="2">
        <f t="shared" si="8"/>
        <v>0.45833333333333331</v>
      </c>
      <c r="F18" s="2">
        <f t="shared" si="9"/>
        <v>0.40624999999999994</v>
      </c>
      <c r="G18" s="2">
        <f t="shared" si="9"/>
        <v>0.44791666666666663</v>
      </c>
      <c r="H18" s="1"/>
      <c r="I18" s="1"/>
    </row>
    <row r="19" spans="1:9" x14ac:dyDescent="0.3">
      <c r="A19" s="1">
        <v>6</v>
      </c>
      <c r="B19" s="2">
        <f>TIME(11,20,0)</f>
        <v>0.47222222222222227</v>
      </c>
      <c r="C19" s="2">
        <f>TIME(12,5,5)</f>
        <v>0.50353009259259263</v>
      </c>
      <c r="D19" s="2">
        <f t="shared" si="8"/>
        <v>0.46180555555555558</v>
      </c>
      <c r="E19" s="2">
        <f t="shared" si="8"/>
        <v>0.49311342592592594</v>
      </c>
      <c r="F19" s="2">
        <f t="shared" si="9"/>
        <v>0.4513888888888889</v>
      </c>
      <c r="G19" s="2">
        <f t="shared" si="9"/>
        <v>0.48269675925925926</v>
      </c>
      <c r="H19" s="1"/>
      <c r="I19" s="1"/>
    </row>
    <row r="20" spans="1:9" x14ac:dyDescent="0.3">
      <c r="A20" s="1">
        <v>7</v>
      </c>
      <c r="B20" s="2">
        <f>TIME(12,30,0)</f>
        <v>0.52083333333333337</v>
      </c>
      <c r="C20" s="2">
        <f>TIME(13,35,0)</f>
        <v>0.56597222222222221</v>
      </c>
      <c r="D20" s="2">
        <f t="shared" si="8"/>
        <v>0.51041666666666674</v>
      </c>
      <c r="E20" s="2">
        <f t="shared" si="8"/>
        <v>0.55555555555555558</v>
      </c>
      <c r="F20" s="2">
        <f t="shared" si="9"/>
        <v>0.50000000000000011</v>
      </c>
      <c r="G20" s="2">
        <f t="shared" si="9"/>
        <v>0.54513888888888895</v>
      </c>
      <c r="H20" s="1"/>
      <c r="I20" s="1"/>
    </row>
    <row r="21" spans="1:9" x14ac:dyDescent="0.3">
      <c r="A21" s="1">
        <v>8</v>
      </c>
      <c r="B21" s="2">
        <f>TIME(13,50,0)</f>
        <v>0.57638888888888895</v>
      </c>
      <c r="C21" s="2">
        <f>TIME(14,45,0)</f>
        <v>0.61458333333333337</v>
      </c>
      <c r="D21" s="2">
        <f t="shared" si="8"/>
        <v>0.56597222222222232</v>
      </c>
      <c r="E21" s="2">
        <f t="shared" si="8"/>
        <v>0.60416666666666674</v>
      </c>
      <c r="F21" s="2">
        <f t="shared" si="9"/>
        <v>0.55555555555555569</v>
      </c>
      <c r="G21" s="2">
        <f t="shared" si="9"/>
        <v>0.59375000000000011</v>
      </c>
      <c r="H21" s="1"/>
      <c r="I21" s="1"/>
    </row>
    <row r="22" spans="1:9" x14ac:dyDescent="0.3">
      <c r="A22" s="1">
        <v>9</v>
      </c>
      <c r="B22" s="2">
        <f>TIME(15,10,0)</f>
        <v>0.63194444444444442</v>
      </c>
      <c r="C22" s="2">
        <f>TIME(16,10,0)</f>
        <v>0.67361111111111116</v>
      </c>
      <c r="D22" s="2">
        <f t="shared" si="8"/>
        <v>0.62152777777777779</v>
      </c>
      <c r="E22" s="2">
        <f t="shared" si="8"/>
        <v>0.66319444444444453</v>
      </c>
      <c r="F22" s="2">
        <f t="shared" si="9"/>
        <v>0.61111111111111116</v>
      </c>
      <c r="G22" s="2">
        <f t="shared" si="9"/>
        <v>0.6527777777777779</v>
      </c>
      <c r="H22" s="1"/>
      <c r="I22" s="1"/>
    </row>
    <row r="23" spans="1:9" x14ac:dyDescent="0.3">
      <c r="A23" s="1">
        <v>10</v>
      </c>
      <c r="B23" s="2">
        <f>TIME(16,30,0)</f>
        <v>0.6875</v>
      </c>
      <c r="C23" s="2">
        <f>TIME(17,30,0)</f>
        <v>0.72916666666666663</v>
      </c>
      <c r="D23" s="2">
        <f t="shared" si="8"/>
        <v>0.67708333333333337</v>
      </c>
      <c r="E23" s="2">
        <f t="shared" si="8"/>
        <v>0.71875</v>
      </c>
      <c r="F23" s="2">
        <f t="shared" si="9"/>
        <v>0.66666666666666674</v>
      </c>
      <c r="G23" s="2">
        <f t="shared" si="9"/>
        <v>0.70833333333333337</v>
      </c>
      <c r="H23" s="1"/>
      <c r="I23" s="1"/>
    </row>
    <row r="24" spans="1:9" x14ac:dyDescent="0.3">
      <c r="A24" s="1">
        <v>11</v>
      </c>
      <c r="B24" s="2">
        <f>TIME(17,45,0)</f>
        <v>0.73958333333333337</v>
      </c>
      <c r="C24" s="2">
        <f>TIME(18,50,0)</f>
        <v>0.78472222222222221</v>
      </c>
      <c r="D24" s="2">
        <f t="shared" si="8"/>
        <v>0.72916666666666674</v>
      </c>
      <c r="E24" s="2">
        <f t="shared" si="8"/>
        <v>0.77430555555555558</v>
      </c>
      <c r="F24" s="2">
        <f t="shared" si="9"/>
        <v>0.71875000000000011</v>
      </c>
      <c r="G24" s="2">
        <f t="shared" si="9"/>
        <v>0.76388888888888895</v>
      </c>
      <c r="H24" s="1"/>
      <c r="I24" s="1"/>
    </row>
    <row r="25" spans="1:9" x14ac:dyDescent="0.3">
      <c r="A25" s="1">
        <v>12</v>
      </c>
      <c r="B25" s="2">
        <f>TIME(19,0,0)</f>
        <v>0.79166666666666663</v>
      </c>
      <c r="C25" s="2">
        <f>TIME(19,55,0)</f>
        <v>0.82986111111111116</v>
      </c>
      <c r="D25" s="2">
        <f t="shared" si="8"/>
        <v>0.78125</v>
      </c>
      <c r="E25" s="2">
        <f t="shared" si="8"/>
        <v>0.81944444444444453</v>
      </c>
      <c r="F25" s="2">
        <f t="shared" si="9"/>
        <v>0.77083333333333337</v>
      </c>
      <c r="G25" s="2">
        <f t="shared" si="9"/>
        <v>0.8090277777777779</v>
      </c>
      <c r="H25" s="1"/>
      <c r="I25" s="1"/>
    </row>
    <row r="26" spans="1:9" x14ac:dyDescent="0.3">
      <c r="A26" s="1">
        <v>13</v>
      </c>
      <c r="B26" s="2">
        <f>TIME(20,5,0)</f>
        <v>0.83680555555555547</v>
      </c>
      <c r="C26" s="2">
        <f>TIME(21,5,0)</f>
        <v>0.87847222222222221</v>
      </c>
      <c r="D26" s="2">
        <f t="shared" si="8"/>
        <v>0.82638888888888884</v>
      </c>
      <c r="E26" s="2">
        <f t="shared" si="8"/>
        <v>0.86805555555555558</v>
      </c>
      <c r="F26" s="2">
        <f t="shared" si="9"/>
        <v>0.81597222222222221</v>
      </c>
      <c r="G26" s="2">
        <f t="shared" si="9"/>
        <v>0.85763888888888895</v>
      </c>
      <c r="H26" s="1"/>
      <c r="I26" s="1"/>
    </row>
    <row r="27" spans="1:9" x14ac:dyDescent="0.3">
      <c r="A27" s="1">
        <v>14</v>
      </c>
      <c r="B27" s="2">
        <f>TIME(21,40,0)</f>
        <v>0.90277777777777779</v>
      </c>
      <c r="C27" s="2">
        <f>TIME(22,35,0)</f>
        <v>0.94097222222222221</v>
      </c>
      <c r="D27" s="2">
        <f t="shared" si="8"/>
        <v>0.89236111111111116</v>
      </c>
      <c r="E27" s="2">
        <f t="shared" si="8"/>
        <v>0.93055555555555558</v>
      </c>
      <c r="F27" s="2">
        <f t="shared" si="9"/>
        <v>0.88194444444444453</v>
      </c>
      <c r="G27" s="2">
        <f t="shared" si="9"/>
        <v>0.92013888888888895</v>
      </c>
      <c r="H27" s="1"/>
      <c r="I27" s="1"/>
    </row>
    <row r="28" spans="1:9" x14ac:dyDescent="0.3">
      <c r="A28" s="1">
        <v>15</v>
      </c>
      <c r="B28" s="2">
        <f>TIME(22,55,0)</f>
        <v>0.95486111111111116</v>
      </c>
      <c r="C28" s="2">
        <f>TIME(23,25,0)</f>
        <v>0.97569444444444453</v>
      </c>
      <c r="D28" s="2">
        <f t="shared" si="8"/>
        <v>0.94444444444444453</v>
      </c>
      <c r="E28" s="2">
        <f t="shared" si="8"/>
        <v>0.9652777777777779</v>
      </c>
      <c r="F28" s="2">
        <f t="shared" si="9"/>
        <v>0.9340277777777779</v>
      </c>
      <c r="G28" s="2">
        <f t="shared" si="9"/>
        <v>0.95486111111111127</v>
      </c>
      <c r="H28" s="1"/>
      <c r="I28" s="1"/>
    </row>
    <row r="29" spans="1:9" x14ac:dyDescent="0.3">
      <c r="A29" s="1"/>
      <c r="B29" s="1"/>
      <c r="C29" s="1"/>
      <c r="D29" s="1"/>
      <c r="E29" s="1"/>
      <c r="F29" s="1"/>
      <c r="G29" s="1"/>
      <c r="H29" s="1"/>
      <c r="I29" s="1"/>
    </row>
    <row r="30" spans="1:9" x14ac:dyDescent="0.3">
      <c r="A30" s="1"/>
      <c r="B30" s="1"/>
      <c r="C30" s="1"/>
      <c r="D30" s="1"/>
      <c r="E30" s="1"/>
      <c r="F30" s="1"/>
      <c r="G30" s="1"/>
      <c r="H30" s="1"/>
      <c r="I30" s="1"/>
    </row>
  </sheetData>
  <mergeCells count="2">
    <mergeCell ref="D13:E13"/>
    <mergeCell ref="F13:G1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D7FA9-8B94-4A58-9DF1-D2D9C8B734A0}">
  <sheetPr codeName="Sheet2"/>
  <dimension ref="A2:AT40"/>
  <sheetViews>
    <sheetView topLeftCell="A2" zoomScale="79" workbookViewId="0">
      <selection activeCell="B3" sqref="B3"/>
    </sheetView>
  </sheetViews>
  <sheetFormatPr defaultRowHeight="14.4" x14ac:dyDescent="0.3"/>
  <cols>
    <col min="1" max="46" width="12.77734375" customWidth="1"/>
  </cols>
  <sheetData>
    <row r="2" spans="1:18" x14ac:dyDescent="0.3">
      <c r="A2" s="5" t="s">
        <v>5</v>
      </c>
      <c r="B2" s="6" t="s">
        <v>6</v>
      </c>
      <c r="C2" s="6" t="s">
        <v>10</v>
      </c>
      <c r="D2" s="6" t="s">
        <v>10</v>
      </c>
      <c r="E2" s="6" t="s">
        <v>10</v>
      </c>
      <c r="F2" s="6" t="s">
        <v>7</v>
      </c>
      <c r="G2" s="30" t="s">
        <v>8</v>
      </c>
      <c r="H2" s="30"/>
      <c r="I2" s="30"/>
      <c r="J2" s="30"/>
      <c r="K2" s="30"/>
      <c r="L2" s="31" t="s">
        <v>9</v>
      </c>
      <c r="M2" s="31"/>
      <c r="N2" s="31"/>
      <c r="O2" s="31"/>
      <c r="P2" s="31"/>
    </row>
    <row r="3" spans="1:18" x14ac:dyDescent="0.3">
      <c r="A3" s="7">
        <v>1</v>
      </c>
      <c r="B3" s="8">
        <f>TIME(4,50,0)</f>
        <v>0.20138888888888887</v>
      </c>
      <c r="C3" s="8">
        <f>TIME(5,5,0)</f>
        <v>0.21180555555555555</v>
      </c>
      <c r="D3" s="8">
        <f>TIME(5,25,0)</f>
        <v>0.22569444444444445</v>
      </c>
      <c r="E3" s="8">
        <f>TIME(5,25,0)</f>
        <v>0.22569444444444445</v>
      </c>
      <c r="F3" s="8">
        <f>TIME(5,38,0)</f>
        <v>0.23472222222222219</v>
      </c>
      <c r="G3" s="9">
        <f t="shared" ref="G3:G17" si="0">B3-TIME(0,15,0)</f>
        <v>0.19097222222222221</v>
      </c>
      <c r="H3" s="9">
        <f t="shared" ref="H3:J17" si="1">C3-TIME(0,15,0)</f>
        <v>0.2013888888888889</v>
      </c>
      <c r="I3" s="9">
        <f t="shared" si="1"/>
        <v>0.21527777777777779</v>
      </c>
      <c r="J3" s="9">
        <f t="shared" si="1"/>
        <v>0.21527777777777779</v>
      </c>
      <c r="K3" s="9">
        <f t="shared" ref="K3:P3" si="2">F3-TIME(0,15,0)</f>
        <v>0.22430555555555554</v>
      </c>
      <c r="L3" s="10">
        <f t="shared" si="2"/>
        <v>0.18055555555555555</v>
      </c>
      <c r="M3" s="10">
        <f t="shared" si="2"/>
        <v>0.19097222222222224</v>
      </c>
      <c r="N3" s="10">
        <f t="shared" si="2"/>
        <v>0.20486111111111113</v>
      </c>
      <c r="O3" s="10">
        <f t="shared" si="2"/>
        <v>0.20486111111111113</v>
      </c>
      <c r="P3" s="10">
        <f t="shared" si="2"/>
        <v>0.21388888888888888</v>
      </c>
      <c r="R3">
        <v>1</v>
      </c>
    </row>
    <row r="4" spans="1:18" x14ac:dyDescent="0.3">
      <c r="A4" s="7">
        <v>2</v>
      </c>
      <c r="B4" s="8">
        <f>TIME(6,0,0)</f>
        <v>0.25</v>
      </c>
      <c r="C4" s="8">
        <f>TIME(6,30,0)</f>
        <v>0.27083333333333331</v>
      </c>
      <c r="D4" s="8">
        <f>TIME(6,35,0)</f>
        <v>0.27430555555555552</v>
      </c>
      <c r="E4" s="8">
        <f>TIME(6,40,0)</f>
        <v>0.27777777777777779</v>
      </c>
      <c r="F4" s="8">
        <f>TIME(7,0,0)</f>
        <v>0.29166666666666669</v>
      </c>
      <c r="G4" s="9">
        <f t="shared" si="0"/>
        <v>0.23958333333333334</v>
      </c>
      <c r="H4" s="9">
        <f t="shared" si="1"/>
        <v>0.26041666666666663</v>
      </c>
      <c r="I4" s="9">
        <f t="shared" si="1"/>
        <v>0.26388888888888884</v>
      </c>
      <c r="J4" s="9">
        <f t="shared" si="1"/>
        <v>0.2673611111111111</v>
      </c>
      <c r="K4" s="9">
        <f t="shared" ref="K4:K17" si="3">F4-TIME(0,15,0)</f>
        <v>0.28125</v>
      </c>
      <c r="L4" s="10">
        <f t="shared" ref="L4:L17" si="4">G4-TIME(0,15,0)</f>
        <v>0.22916666666666669</v>
      </c>
      <c r="M4" s="10">
        <f t="shared" ref="M4:M17" si="5">H4-TIME(0,15,0)</f>
        <v>0.24999999999999997</v>
      </c>
      <c r="N4" s="10">
        <f t="shared" ref="N4:N17" si="6">I4-TIME(0,15,0)</f>
        <v>0.25347222222222215</v>
      </c>
      <c r="O4" s="10">
        <f t="shared" ref="O4:O17" si="7">J4-TIME(0,15,0)</f>
        <v>0.25694444444444442</v>
      </c>
      <c r="P4" s="10">
        <f t="shared" ref="P4:P17" si="8">K4-TIME(0,15,0)</f>
        <v>0.27083333333333331</v>
      </c>
      <c r="R4">
        <v>1</v>
      </c>
    </row>
    <row r="5" spans="1:18" x14ac:dyDescent="0.3">
      <c r="A5" s="7">
        <v>3</v>
      </c>
      <c r="B5" s="8">
        <f>TIME(7,15,0)</f>
        <v>0.30208333333333331</v>
      </c>
      <c r="C5" s="8">
        <f>TIME(7,15,0)</f>
        <v>0.30208333333333331</v>
      </c>
      <c r="D5" s="8">
        <f>TIME(7,35,0)</f>
        <v>0.31597222222222221</v>
      </c>
      <c r="E5" s="8">
        <f>TIME(7,55,0)</f>
        <v>0.3298611111111111</v>
      </c>
      <c r="F5" s="8">
        <f>TIME(8,10,0)</f>
        <v>0.34027777777777773</v>
      </c>
      <c r="G5" s="9">
        <f t="shared" si="0"/>
        <v>0.29166666666666663</v>
      </c>
      <c r="H5" s="9">
        <f t="shared" si="1"/>
        <v>0.29166666666666663</v>
      </c>
      <c r="I5" s="9">
        <f t="shared" si="1"/>
        <v>0.30555555555555552</v>
      </c>
      <c r="J5" s="9">
        <f t="shared" si="1"/>
        <v>0.31944444444444442</v>
      </c>
      <c r="K5" s="9">
        <f t="shared" si="3"/>
        <v>0.32986111111111105</v>
      </c>
      <c r="L5" s="10">
        <f t="shared" si="4"/>
        <v>0.28124999999999994</v>
      </c>
      <c r="M5" s="10">
        <f t="shared" si="5"/>
        <v>0.28124999999999994</v>
      </c>
      <c r="N5" s="10">
        <f t="shared" si="6"/>
        <v>0.29513888888888884</v>
      </c>
      <c r="O5" s="10">
        <f t="shared" si="7"/>
        <v>0.30902777777777773</v>
      </c>
      <c r="P5" s="10">
        <f t="shared" si="8"/>
        <v>0.31944444444444436</v>
      </c>
      <c r="R5">
        <v>0</v>
      </c>
    </row>
    <row r="6" spans="1:18" x14ac:dyDescent="0.3">
      <c r="A6" s="7">
        <v>4</v>
      </c>
      <c r="B6" s="8">
        <f>TIME(9,0,0)</f>
        <v>0.375</v>
      </c>
      <c r="C6" s="8">
        <f>TIME(9,20,0)</f>
        <v>0.3888888888888889</v>
      </c>
      <c r="D6" s="8">
        <f>TIME(9,30,0)</f>
        <v>0.39583333333333331</v>
      </c>
      <c r="E6" s="8">
        <f>TIME(9,55,0)</f>
        <v>0.41319444444444442</v>
      </c>
      <c r="F6" s="8">
        <f>TIME(10,5,0)</f>
        <v>0.4201388888888889</v>
      </c>
      <c r="G6" s="9">
        <f t="shared" si="0"/>
        <v>0.36458333333333331</v>
      </c>
      <c r="H6" s="9">
        <f t="shared" si="1"/>
        <v>0.37847222222222221</v>
      </c>
      <c r="I6" s="9">
        <f t="shared" si="1"/>
        <v>0.38541666666666663</v>
      </c>
      <c r="J6" s="9">
        <f t="shared" si="1"/>
        <v>0.40277777777777773</v>
      </c>
      <c r="K6" s="9">
        <f t="shared" si="3"/>
        <v>0.40972222222222221</v>
      </c>
      <c r="L6" s="10">
        <f t="shared" si="4"/>
        <v>0.35416666666666663</v>
      </c>
      <c r="M6" s="10">
        <f t="shared" si="5"/>
        <v>0.36805555555555552</v>
      </c>
      <c r="N6" s="10">
        <f t="shared" si="6"/>
        <v>0.37499999999999994</v>
      </c>
      <c r="O6" s="10">
        <f t="shared" si="7"/>
        <v>0.39236111111111105</v>
      </c>
      <c r="P6" s="10">
        <f t="shared" si="8"/>
        <v>0.39930555555555552</v>
      </c>
      <c r="R6">
        <v>1</v>
      </c>
    </row>
    <row r="7" spans="1:18" x14ac:dyDescent="0.3">
      <c r="A7" s="7">
        <v>5</v>
      </c>
      <c r="B7" s="8">
        <f>TIME(10,15,0)</f>
        <v>0.42708333333333331</v>
      </c>
      <c r="C7" s="8">
        <f>TIME(10,25,0)</f>
        <v>0.43402777777777773</v>
      </c>
      <c r="D7" s="8">
        <f>TIME(10,35,0)</f>
        <v>0.44097222222222227</v>
      </c>
      <c r="E7" s="8">
        <f>TIME(11,5,0)</f>
        <v>0.46180555555555558</v>
      </c>
      <c r="F7" s="8">
        <f>TIME(11,15,0)</f>
        <v>0.46875</v>
      </c>
      <c r="G7" s="9">
        <f t="shared" si="0"/>
        <v>0.41666666666666663</v>
      </c>
      <c r="H7" s="9">
        <f t="shared" si="1"/>
        <v>0.42361111111111105</v>
      </c>
      <c r="I7" s="9">
        <f t="shared" si="1"/>
        <v>0.43055555555555558</v>
      </c>
      <c r="J7" s="9">
        <f t="shared" si="1"/>
        <v>0.4513888888888889</v>
      </c>
      <c r="K7" s="9">
        <f t="shared" si="3"/>
        <v>0.45833333333333331</v>
      </c>
      <c r="L7" s="10">
        <f t="shared" si="4"/>
        <v>0.40624999999999994</v>
      </c>
      <c r="M7" s="10">
        <f t="shared" si="5"/>
        <v>0.41319444444444436</v>
      </c>
      <c r="N7" s="10">
        <f t="shared" si="6"/>
        <v>0.4201388888888889</v>
      </c>
      <c r="O7" s="10">
        <f t="shared" si="7"/>
        <v>0.44097222222222221</v>
      </c>
      <c r="P7" s="10">
        <f t="shared" si="8"/>
        <v>0.44791666666666663</v>
      </c>
      <c r="R7">
        <v>1</v>
      </c>
    </row>
    <row r="8" spans="1:18" x14ac:dyDescent="0.3">
      <c r="A8" s="7">
        <v>6</v>
      </c>
      <c r="B8" s="8">
        <f>TIME(11,20,0)</f>
        <v>0.47222222222222227</v>
      </c>
      <c r="C8" s="8">
        <f>TIME(11,30,0)</f>
        <v>0.47916666666666669</v>
      </c>
      <c r="D8" s="8">
        <f>TIME(11,45,0)</f>
        <v>0.48958333333333331</v>
      </c>
      <c r="E8" s="8">
        <f>TIME(11,55,0)</f>
        <v>0.49652777777777773</v>
      </c>
      <c r="F8" s="8">
        <f>TIME(12,5,5)</f>
        <v>0.50353009259259263</v>
      </c>
      <c r="G8" s="9">
        <f t="shared" si="0"/>
        <v>0.46180555555555558</v>
      </c>
      <c r="H8" s="9">
        <f t="shared" si="1"/>
        <v>0.46875</v>
      </c>
      <c r="I8" s="9">
        <f t="shared" si="1"/>
        <v>0.47916666666666663</v>
      </c>
      <c r="J8" s="9">
        <f t="shared" si="1"/>
        <v>0.48611111111111105</v>
      </c>
      <c r="K8" s="9">
        <f t="shared" si="3"/>
        <v>0.49311342592592594</v>
      </c>
      <c r="L8" s="10">
        <f t="shared" si="4"/>
        <v>0.4513888888888889</v>
      </c>
      <c r="M8" s="10">
        <f t="shared" si="5"/>
        <v>0.45833333333333331</v>
      </c>
      <c r="N8" s="10">
        <f t="shared" si="6"/>
        <v>0.46874999999999994</v>
      </c>
      <c r="O8" s="10">
        <f t="shared" si="7"/>
        <v>0.47569444444444436</v>
      </c>
      <c r="P8" s="10">
        <f t="shared" si="8"/>
        <v>0.48269675925925926</v>
      </c>
      <c r="R8">
        <v>1</v>
      </c>
    </row>
    <row r="9" spans="1:18" x14ac:dyDescent="0.3">
      <c r="A9" s="7">
        <v>7</v>
      </c>
      <c r="B9" s="8">
        <f>TIME(12,30,0)</f>
        <v>0.52083333333333337</v>
      </c>
      <c r="C9" s="8">
        <f>TIME(12,35,0)</f>
        <v>0.52430555555555558</v>
      </c>
      <c r="D9" s="8">
        <f>TIME(13,0,0)</f>
        <v>0.54166666666666663</v>
      </c>
      <c r="E9" s="8">
        <f>TIME(13,10,0)</f>
        <v>0.54861111111111105</v>
      </c>
      <c r="F9" s="8">
        <f>TIME(13,35,0)</f>
        <v>0.56597222222222221</v>
      </c>
      <c r="G9" s="9">
        <f t="shared" si="0"/>
        <v>0.51041666666666674</v>
      </c>
      <c r="H9" s="9">
        <f t="shared" si="1"/>
        <v>0.51388888888888895</v>
      </c>
      <c r="I9" s="9">
        <f t="shared" si="1"/>
        <v>0.53125</v>
      </c>
      <c r="J9" s="9">
        <f t="shared" si="1"/>
        <v>0.53819444444444442</v>
      </c>
      <c r="K9" s="9">
        <f t="shared" si="3"/>
        <v>0.55555555555555558</v>
      </c>
      <c r="L9" s="10">
        <f t="shared" si="4"/>
        <v>0.50000000000000011</v>
      </c>
      <c r="M9" s="10">
        <f t="shared" si="5"/>
        <v>0.50347222222222232</v>
      </c>
      <c r="N9" s="10">
        <f t="shared" si="6"/>
        <v>0.52083333333333337</v>
      </c>
      <c r="O9" s="10">
        <f t="shared" si="7"/>
        <v>0.52777777777777779</v>
      </c>
      <c r="P9" s="10">
        <f t="shared" si="8"/>
        <v>0.54513888888888895</v>
      </c>
      <c r="R9">
        <v>1</v>
      </c>
    </row>
    <row r="10" spans="1:18" x14ac:dyDescent="0.3">
      <c r="A10" s="7">
        <v>8</v>
      </c>
      <c r="B10" s="8">
        <f>TIME(13,50,0)</f>
        <v>0.57638888888888895</v>
      </c>
      <c r="C10" s="8">
        <f>TIME(13,55,0)</f>
        <v>0.57986111111111105</v>
      </c>
      <c r="D10" s="8">
        <f>TIME(14,5,0)</f>
        <v>0.58680555555555558</v>
      </c>
      <c r="E10" s="8">
        <f>TIME(14,20,0)</f>
        <v>0.59722222222222221</v>
      </c>
      <c r="F10" s="8">
        <f>TIME(14,45,0)</f>
        <v>0.61458333333333337</v>
      </c>
      <c r="G10" s="9">
        <f t="shared" si="0"/>
        <v>0.56597222222222232</v>
      </c>
      <c r="H10" s="9">
        <f t="shared" si="1"/>
        <v>0.56944444444444442</v>
      </c>
      <c r="I10" s="9">
        <f t="shared" si="1"/>
        <v>0.57638888888888895</v>
      </c>
      <c r="J10" s="9">
        <f t="shared" si="1"/>
        <v>0.58680555555555558</v>
      </c>
      <c r="K10" s="9">
        <f t="shared" si="3"/>
        <v>0.60416666666666674</v>
      </c>
      <c r="L10" s="10">
        <f t="shared" si="4"/>
        <v>0.55555555555555569</v>
      </c>
      <c r="M10" s="10">
        <f t="shared" si="5"/>
        <v>0.55902777777777779</v>
      </c>
      <c r="N10" s="10">
        <f t="shared" si="6"/>
        <v>0.56597222222222232</v>
      </c>
      <c r="O10" s="10">
        <f t="shared" si="7"/>
        <v>0.57638888888888895</v>
      </c>
      <c r="P10" s="10">
        <f t="shared" si="8"/>
        <v>0.59375000000000011</v>
      </c>
      <c r="R10">
        <v>1</v>
      </c>
    </row>
    <row r="11" spans="1:18" x14ac:dyDescent="0.3">
      <c r="A11" s="7">
        <v>9</v>
      </c>
      <c r="B11" s="8">
        <f>TIME(15,10,0)</f>
        <v>0.63194444444444442</v>
      </c>
      <c r="C11" s="8">
        <f>TIME(15,30,0)</f>
        <v>0.64583333333333337</v>
      </c>
      <c r="D11" s="8">
        <f>TIME(15,50,0)</f>
        <v>0.65972222222222221</v>
      </c>
      <c r="E11" s="8">
        <f>TIME(16,10,0)</f>
        <v>0.67361111111111116</v>
      </c>
      <c r="F11" s="8">
        <f>TIME(16,20,0)</f>
        <v>0.68055555555555547</v>
      </c>
      <c r="G11" s="9">
        <f t="shared" si="0"/>
        <v>0.62152777777777779</v>
      </c>
      <c r="H11" s="9">
        <f t="shared" si="1"/>
        <v>0.63541666666666674</v>
      </c>
      <c r="I11" s="9">
        <f t="shared" si="1"/>
        <v>0.64930555555555558</v>
      </c>
      <c r="J11" s="9">
        <f t="shared" si="1"/>
        <v>0.66319444444444453</v>
      </c>
      <c r="K11" s="9">
        <f t="shared" si="3"/>
        <v>0.67013888888888884</v>
      </c>
      <c r="L11" s="10">
        <f t="shared" si="4"/>
        <v>0.61111111111111116</v>
      </c>
      <c r="M11" s="10">
        <f t="shared" si="5"/>
        <v>0.62500000000000011</v>
      </c>
      <c r="N11" s="10">
        <f t="shared" si="6"/>
        <v>0.63888888888888895</v>
      </c>
      <c r="O11" s="10">
        <f t="shared" si="7"/>
        <v>0.6527777777777779</v>
      </c>
      <c r="P11" s="10">
        <f t="shared" si="8"/>
        <v>0.65972222222222221</v>
      </c>
      <c r="R11">
        <v>1</v>
      </c>
    </row>
    <row r="12" spans="1:18" x14ac:dyDescent="0.3">
      <c r="A12" s="7">
        <v>10</v>
      </c>
      <c r="B12" s="8">
        <f>TIME(16,30,0)</f>
        <v>0.6875</v>
      </c>
      <c r="C12" s="8">
        <f>TIME(16,45,0)</f>
        <v>0.69791666666666663</v>
      </c>
      <c r="D12" s="8">
        <f>TIME(16,55,0)</f>
        <v>0.70486111111111116</v>
      </c>
      <c r="E12" s="8">
        <f>TIME(17,0,0)</f>
        <v>0.70833333333333337</v>
      </c>
      <c r="F12" s="8">
        <f>TIME(17,30,0)</f>
        <v>0.72916666666666663</v>
      </c>
      <c r="G12" s="9">
        <f t="shared" si="0"/>
        <v>0.67708333333333337</v>
      </c>
      <c r="H12" s="9">
        <f t="shared" si="1"/>
        <v>0.6875</v>
      </c>
      <c r="I12" s="9">
        <f t="shared" si="1"/>
        <v>0.69444444444444453</v>
      </c>
      <c r="J12" s="9">
        <f t="shared" si="1"/>
        <v>0.69791666666666674</v>
      </c>
      <c r="K12" s="9">
        <f t="shared" si="3"/>
        <v>0.71875</v>
      </c>
      <c r="L12" s="10">
        <f t="shared" si="4"/>
        <v>0.66666666666666674</v>
      </c>
      <c r="M12" s="10">
        <f t="shared" si="5"/>
        <v>0.67708333333333337</v>
      </c>
      <c r="N12" s="10">
        <f t="shared" si="6"/>
        <v>0.6840277777777779</v>
      </c>
      <c r="O12" s="10">
        <f t="shared" si="7"/>
        <v>0.68750000000000011</v>
      </c>
      <c r="P12" s="10">
        <f t="shared" si="8"/>
        <v>0.70833333333333337</v>
      </c>
      <c r="R12">
        <v>1</v>
      </c>
    </row>
    <row r="13" spans="1:18" x14ac:dyDescent="0.3">
      <c r="A13" s="7">
        <v>11</v>
      </c>
      <c r="B13" s="8">
        <f>TIME(17,45,0)</f>
        <v>0.73958333333333337</v>
      </c>
      <c r="C13" s="8">
        <f>TIME(18,0,0)</f>
        <v>0.75</v>
      </c>
      <c r="D13" s="8">
        <f>TIME(18,25,0)</f>
        <v>0.76736111111111116</v>
      </c>
      <c r="E13" s="8">
        <f>TIME(18,35,0)</f>
        <v>0.77430555555555547</v>
      </c>
      <c r="F13" s="8">
        <f>TIME(18,50,0)</f>
        <v>0.78472222222222221</v>
      </c>
      <c r="G13" s="9">
        <f t="shared" si="0"/>
        <v>0.72916666666666674</v>
      </c>
      <c r="H13" s="9">
        <f t="shared" si="1"/>
        <v>0.73958333333333337</v>
      </c>
      <c r="I13" s="9">
        <f t="shared" si="1"/>
        <v>0.75694444444444453</v>
      </c>
      <c r="J13" s="9">
        <f t="shared" si="1"/>
        <v>0.76388888888888884</v>
      </c>
      <c r="K13" s="9">
        <f t="shared" si="3"/>
        <v>0.77430555555555558</v>
      </c>
      <c r="L13" s="10">
        <f t="shared" si="4"/>
        <v>0.71875000000000011</v>
      </c>
      <c r="M13" s="10">
        <f t="shared" si="5"/>
        <v>0.72916666666666674</v>
      </c>
      <c r="N13" s="10">
        <f t="shared" si="6"/>
        <v>0.7465277777777779</v>
      </c>
      <c r="O13" s="10">
        <f t="shared" si="7"/>
        <v>0.75347222222222221</v>
      </c>
      <c r="P13" s="10">
        <f t="shared" si="8"/>
        <v>0.76388888888888895</v>
      </c>
      <c r="R13">
        <v>1</v>
      </c>
    </row>
    <row r="14" spans="1:18" x14ac:dyDescent="0.3">
      <c r="A14" s="7">
        <v>12</v>
      </c>
      <c r="B14" s="8">
        <f>TIME(19,0,0)</f>
        <v>0.79166666666666663</v>
      </c>
      <c r="C14" s="8">
        <f>TIME(19,5,0)</f>
        <v>0.79513888888888884</v>
      </c>
      <c r="D14" s="8">
        <f>TIME(19,20,0)</f>
        <v>0.80555555555555547</v>
      </c>
      <c r="E14" s="8">
        <f>TIME(19,30,0)</f>
        <v>0.8125</v>
      </c>
      <c r="F14" s="8">
        <f>TIME(19,55,0)</f>
        <v>0.82986111111111116</v>
      </c>
      <c r="G14" s="9">
        <f t="shared" si="0"/>
        <v>0.78125</v>
      </c>
      <c r="H14" s="9">
        <f t="shared" si="1"/>
        <v>0.78472222222222221</v>
      </c>
      <c r="I14" s="9">
        <f t="shared" si="1"/>
        <v>0.79513888888888884</v>
      </c>
      <c r="J14" s="9">
        <f t="shared" si="1"/>
        <v>0.80208333333333337</v>
      </c>
      <c r="K14" s="9">
        <f t="shared" si="3"/>
        <v>0.81944444444444453</v>
      </c>
      <c r="L14" s="10">
        <f t="shared" si="4"/>
        <v>0.77083333333333337</v>
      </c>
      <c r="M14" s="10">
        <f t="shared" si="5"/>
        <v>0.77430555555555558</v>
      </c>
      <c r="N14" s="10">
        <f t="shared" si="6"/>
        <v>0.78472222222222221</v>
      </c>
      <c r="O14" s="10">
        <f t="shared" si="7"/>
        <v>0.79166666666666674</v>
      </c>
      <c r="P14" s="10">
        <f t="shared" si="8"/>
        <v>0.8090277777777779</v>
      </c>
      <c r="R14">
        <v>1</v>
      </c>
    </row>
    <row r="15" spans="1:18" x14ac:dyDescent="0.3">
      <c r="A15" s="7">
        <v>13</v>
      </c>
      <c r="B15" s="8">
        <f>TIME(20,5,0)</f>
        <v>0.83680555555555547</v>
      </c>
      <c r="C15" s="8">
        <f>TIME(20,20,0)</f>
        <v>0.84722222222222221</v>
      </c>
      <c r="D15" s="8">
        <f>TIME(20,40,0)</f>
        <v>0.86111111111111116</v>
      </c>
      <c r="E15" s="8">
        <f>TIME(20,55,0)</f>
        <v>0.87152777777777779</v>
      </c>
      <c r="F15" s="8">
        <f>TIME(21,5,0)</f>
        <v>0.87847222222222221</v>
      </c>
      <c r="G15" s="9">
        <f t="shared" si="0"/>
        <v>0.82638888888888884</v>
      </c>
      <c r="H15" s="9">
        <f t="shared" si="1"/>
        <v>0.83680555555555558</v>
      </c>
      <c r="I15" s="9">
        <f t="shared" si="1"/>
        <v>0.85069444444444453</v>
      </c>
      <c r="J15" s="9">
        <f t="shared" si="1"/>
        <v>0.86111111111111116</v>
      </c>
      <c r="K15" s="9">
        <f t="shared" si="3"/>
        <v>0.86805555555555558</v>
      </c>
      <c r="L15" s="10">
        <f t="shared" si="4"/>
        <v>0.81597222222222221</v>
      </c>
      <c r="M15" s="10">
        <f t="shared" si="5"/>
        <v>0.82638888888888895</v>
      </c>
      <c r="N15" s="10">
        <f t="shared" si="6"/>
        <v>0.8402777777777779</v>
      </c>
      <c r="O15" s="10">
        <f t="shared" si="7"/>
        <v>0.85069444444444453</v>
      </c>
      <c r="P15" s="10">
        <f t="shared" si="8"/>
        <v>0.85763888888888895</v>
      </c>
      <c r="Q15" s="14"/>
      <c r="R15">
        <v>1</v>
      </c>
    </row>
    <row r="16" spans="1:18" x14ac:dyDescent="0.3">
      <c r="A16" s="7">
        <v>14</v>
      </c>
      <c r="B16" s="8">
        <f>TIME(21,40,0)</f>
        <v>0.90277777777777779</v>
      </c>
      <c r="C16" s="8">
        <f>TIME(22,5,0)</f>
        <v>0.92013888888888884</v>
      </c>
      <c r="D16" s="8">
        <f>TIME(22,25,0)</f>
        <v>0.93402777777777779</v>
      </c>
      <c r="E16" s="8">
        <f>TIME(22,25,0)</f>
        <v>0.93402777777777779</v>
      </c>
      <c r="F16" s="8">
        <f>TIME(22,35,0)</f>
        <v>0.94097222222222221</v>
      </c>
      <c r="G16" s="9">
        <f t="shared" si="0"/>
        <v>0.89236111111111116</v>
      </c>
      <c r="H16" s="9">
        <f t="shared" si="1"/>
        <v>0.90972222222222221</v>
      </c>
      <c r="I16" s="9">
        <f t="shared" si="1"/>
        <v>0.92361111111111116</v>
      </c>
      <c r="J16" s="9">
        <f t="shared" si="1"/>
        <v>0.92361111111111116</v>
      </c>
      <c r="K16" s="9">
        <f t="shared" si="3"/>
        <v>0.93055555555555558</v>
      </c>
      <c r="L16" s="10">
        <f t="shared" si="4"/>
        <v>0.88194444444444453</v>
      </c>
      <c r="M16" s="10">
        <f t="shared" si="5"/>
        <v>0.89930555555555558</v>
      </c>
      <c r="N16" s="10">
        <f t="shared" si="6"/>
        <v>0.91319444444444453</v>
      </c>
      <c r="O16" s="10">
        <f t="shared" si="7"/>
        <v>0.91319444444444453</v>
      </c>
      <c r="P16" s="10">
        <f t="shared" si="8"/>
        <v>0.92013888888888895</v>
      </c>
      <c r="R16">
        <v>1</v>
      </c>
    </row>
    <row r="17" spans="1:46" x14ac:dyDescent="0.3">
      <c r="A17" s="7">
        <v>15</v>
      </c>
      <c r="B17" s="8">
        <f>TIME(22,55,0)</f>
        <v>0.95486111111111116</v>
      </c>
      <c r="C17" s="8">
        <f>TIME(23,10,0)</f>
        <v>0.96527777777777779</v>
      </c>
      <c r="D17" s="8">
        <f>TIME(23,10,0)</f>
        <v>0.96527777777777779</v>
      </c>
      <c r="E17" s="8">
        <f>TIME(23,10,0)</f>
        <v>0.96527777777777779</v>
      </c>
      <c r="F17" s="8">
        <f>TIME(23,25,0)</f>
        <v>0.97569444444444453</v>
      </c>
      <c r="G17" s="9">
        <f t="shared" si="0"/>
        <v>0.94444444444444453</v>
      </c>
      <c r="H17" s="9">
        <f t="shared" si="1"/>
        <v>0.95486111111111116</v>
      </c>
      <c r="I17" s="9">
        <f t="shared" si="1"/>
        <v>0.95486111111111116</v>
      </c>
      <c r="J17" s="9">
        <f t="shared" si="1"/>
        <v>0.95486111111111116</v>
      </c>
      <c r="K17" s="9">
        <f t="shared" si="3"/>
        <v>0.9652777777777779</v>
      </c>
      <c r="L17" s="10">
        <f t="shared" si="4"/>
        <v>0.9340277777777779</v>
      </c>
      <c r="M17" s="10">
        <f t="shared" si="5"/>
        <v>0.94444444444444453</v>
      </c>
      <c r="N17" s="10">
        <f t="shared" si="6"/>
        <v>0.94444444444444453</v>
      </c>
      <c r="O17" s="10">
        <f t="shared" si="7"/>
        <v>0.94444444444444453</v>
      </c>
      <c r="P17" s="10">
        <f t="shared" si="8"/>
        <v>0.95486111111111127</v>
      </c>
      <c r="R17">
        <v>0</v>
      </c>
    </row>
    <row r="20" spans="1:46" ht="15" thickBot="1" x14ac:dyDescent="0.35"/>
    <row r="21" spans="1:46" ht="15" thickBot="1" x14ac:dyDescent="0.35">
      <c r="A21" s="15" t="s">
        <v>2</v>
      </c>
      <c r="B21" s="16" t="s">
        <v>3</v>
      </c>
      <c r="C21" s="16" t="s">
        <v>4</v>
      </c>
      <c r="D21" s="16" t="s">
        <v>0</v>
      </c>
      <c r="E21" s="17" t="s">
        <v>0</v>
      </c>
      <c r="F21" s="17" t="s">
        <v>4</v>
      </c>
      <c r="G21" s="17" t="s">
        <v>3</v>
      </c>
      <c r="H21" s="18" t="s">
        <v>2</v>
      </c>
      <c r="I21" s="12"/>
      <c r="J21" s="32" t="s">
        <v>11</v>
      </c>
      <c r="K21" s="32"/>
      <c r="L21" s="32"/>
      <c r="M21" s="32"/>
      <c r="N21" s="32"/>
      <c r="O21" s="32"/>
      <c r="P21" s="32"/>
      <c r="Q21" s="32"/>
      <c r="R21" s="32"/>
      <c r="S21" s="33"/>
      <c r="T21" s="34"/>
      <c r="U21" s="34"/>
      <c r="V21" s="34"/>
      <c r="W21" s="34"/>
      <c r="X21" s="34"/>
      <c r="Y21" s="34"/>
      <c r="Z21" s="34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</row>
    <row r="22" spans="1:46" x14ac:dyDescent="0.3">
      <c r="A22" s="11">
        <f>TIME(4,40,0)</f>
        <v>0.19444444444444445</v>
      </c>
      <c r="B22" s="11">
        <f>TIME(0,6,0)+A22</f>
        <v>0.19861111111111113</v>
      </c>
      <c r="C22" s="11">
        <f>B22+TIME(0,18,0)</f>
        <v>0.21111111111111114</v>
      </c>
      <c r="D22" s="21">
        <f>A22+TIME(0,40,0)</f>
        <v>0.22222222222222221</v>
      </c>
      <c r="E22" s="4">
        <f>D22+TIME(0,5,0)</f>
        <v>0.22569444444444442</v>
      </c>
      <c r="F22" s="4">
        <f>E22+TIME(0,16,0)</f>
        <v>0.23680555555555552</v>
      </c>
      <c r="G22" s="4">
        <f>F22+TIME(0,18,0)</f>
        <v>0.24930555555555553</v>
      </c>
      <c r="H22" s="4">
        <f>G22+TIME(0,6,0)</f>
        <v>0.25347222222222221</v>
      </c>
      <c r="I22" s="12">
        <v>0</v>
      </c>
      <c r="J22" s="11">
        <f>A22-TIME(0,5,0)</f>
        <v>0.19097222222222224</v>
      </c>
      <c r="K22" s="11">
        <f>TIME(0,6,0)+J22</f>
        <v>0.19513888888888892</v>
      </c>
      <c r="L22" s="11">
        <f>K22+TIME(0,18,0)</f>
        <v>0.20763888888888893</v>
      </c>
      <c r="M22" s="21">
        <f>J22+TIME(0,40,0)</f>
        <v>0.21875</v>
      </c>
      <c r="N22" s="11">
        <f>M22+TIME(0,5,0)</f>
        <v>0.22222222222222221</v>
      </c>
      <c r="O22" s="11">
        <f>N22+TIME(0,16,0)</f>
        <v>0.23333333333333331</v>
      </c>
      <c r="P22" s="11">
        <f>O22+TIME(0,18,0)</f>
        <v>0.24583333333333332</v>
      </c>
      <c r="Q22" s="11">
        <f>P22+TIME(0,6,0)</f>
        <v>0.25</v>
      </c>
      <c r="R22" s="13">
        <v>0</v>
      </c>
      <c r="S22" s="3" t="s">
        <v>0</v>
      </c>
      <c r="T22" s="3" t="s">
        <v>3</v>
      </c>
      <c r="U22" s="3" t="s">
        <v>4</v>
      </c>
      <c r="V22" s="3" t="s">
        <v>2</v>
      </c>
      <c r="W22" s="3" t="s">
        <v>2</v>
      </c>
      <c r="X22" s="3" t="s">
        <v>4</v>
      </c>
      <c r="Y22" s="3" t="s">
        <v>3</v>
      </c>
      <c r="Z22" s="3" t="s">
        <v>1</v>
      </c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</row>
    <row r="23" spans="1:46" x14ac:dyDescent="0.3">
      <c r="A23" s="11">
        <f>TIME(0,5,0)+H22</f>
        <v>0.25694444444444442</v>
      </c>
      <c r="B23" s="11">
        <f>TIME(0,6,0)+A23</f>
        <v>0.26111111111111107</v>
      </c>
      <c r="C23" s="11">
        <f>B23+TIME(0,18,0)</f>
        <v>0.27361111111111108</v>
      </c>
      <c r="D23" s="21">
        <f>A23+TIME(0,40,0)</f>
        <v>0.28472222222222221</v>
      </c>
      <c r="E23" s="4">
        <f t="shared" ref="E23:E34" si="9">D23+TIME(0,5,0)</f>
        <v>0.28819444444444442</v>
      </c>
      <c r="F23" s="4">
        <f>E23+TIME(0,16,0)</f>
        <v>0.29930555555555555</v>
      </c>
      <c r="G23" s="4">
        <f>F23+TIME(0,18,0)</f>
        <v>0.31180555555555556</v>
      </c>
      <c r="H23" s="4">
        <f>G23+TIME(0,6,0)</f>
        <v>0.31597222222222221</v>
      </c>
      <c r="I23" s="12">
        <v>1</v>
      </c>
      <c r="J23" s="11">
        <f>TIME(0,5,0)+Q22</f>
        <v>0.25347222222222221</v>
      </c>
      <c r="K23" s="11">
        <f>TIME(0,6,0)+J23</f>
        <v>0.25763888888888886</v>
      </c>
      <c r="L23" s="11">
        <f>K23+TIME(0,18,0)</f>
        <v>0.27013888888888887</v>
      </c>
      <c r="M23" s="21">
        <f>J23+TIME(0,40,0)</f>
        <v>0.28125</v>
      </c>
      <c r="N23" s="11">
        <f t="shared" ref="N23:N34" si="10">M23+TIME(0,5,0)</f>
        <v>0.28472222222222221</v>
      </c>
      <c r="O23" s="11">
        <f>N23+TIME(0,16,0)</f>
        <v>0.29583333333333334</v>
      </c>
      <c r="P23" s="11">
        <f>O23+TIME(0,18,0)</f>
        <v>0.30833333333333335</v>
      </c>
      <c r="Q23" s="11">
        <f>P23+TIME(0,6,0)</f>
        <v>0.3125</v>
      </c>
      <c r="R23" s="13">
        <v>1</v>
      </c>
      <c r="S23" s="2">
        <f>TIME(7,24,0)</f>
        <v>0.30833333333333335</v>
      </c>
      <c r="T23" s="2">
        <f>TIME(0,6,0)+S23</f>
        <v>0.3125</v>
      </c>
      <c r="U23" s="2">
        <f>TIME(0,18,0)+T23</f>
        <v>0.32500000000000001</v>
      </c>
      <c r="V23" s="2">
        <f>S23+TIME(0,40,0)</f>
        <v>0.33611111111111114</v>
      </c>
      <c r="W23" s="2">
        <f>V23+TIME(0,5,0)</f>
        <v>0.33958333333333335</v>
      </c>
      <c r="X23" s="2">
        <f>W23+TIME(0,16,0)</f>
        <v>0.35069444444444448</v>
      </c>
      <c r="Y23" s="2">
        <f>X23+TIME(0,18,0)</f>
        <v>0.36319444444444449</v>
      </c>
      <c r="Z23" s="2">
        <f>Y23+TIME(0,6,0)</f>
        <v>0.36736111111111114</v>
      </c>
      <c r="AA23" s="1">
        <v>1</v>
      </c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</row>
    <row r="24" spans="1:46" x14ac:dyDescent="0.3">
      <c r="A24" s="11">
        <f>TIME(0,5,0)+H23</f>
        <v>0.31944444444444442</v>
      </c>
      <c r="B24" s="11">
        <f>TIME(0,6,0)+A24</f>
        <v>0.32361111111111107</v>
      </c>
      <c r="C24" s="11">
        <f>B24+TIME(0,18,0)</f>
        <v>0.33611111111111108</v>
      </c>
      <c r="D24" s="21">
        <f>A24+TIME(0,40,0)</f>
        <v>0.34722222222222221</v>
      </c>
      <c r="E24" s="4">
        <f t="shared" si="9"/>
        <v>0.35069444444444442</v>
      </c>
      <c r="F24" s="4">
        <f>E24+TIME(0,16,0)</f>
        <v>0.36180555555555555</v>
      </c>
      <c r="G24" s="4">
        <f>F24+TIME(0,18,0)</f>
        <v>0.37430555555555556</v>
      </c>
      <c r="H24" s="4">
        <f>G24+TIME(0,6,0)</f>
        <v>0.37847222222222221</v>
      </c>
      <c r="I24" s="12">
        <v>0</v>
      </c>
      <c r="J24" s="11">
        <f>TIME(0,5,0)+Q23</f>
        <v>0.31597222222222221</v>
      </c>
      <c r="K24" s="11">
        <f>TIME(0,6,0)+J24</f>
        <v>0.32013888888888886</v>
      </c>
      <c r="L24" s="11">
        <f>K24+TIME(0,18,0)</f>
        <v>0.33263888888888887</v>
      </c>
      <c r="M24" s="21">
        <f>J24+TIME(0,40,0)</f>
        <v>0.34375</v>
      </c>
      <c r="N24" s="11">
        <f t="shared" si="10"/>
        <v>0.34722222222222221</v>
      </c>
      <c r="O24" s="11">
        <f>N24+TIME(0,16,0)</f>
        <v>0.35833333333333334</v>
      </c>
      <c r="P24" s="11">
        <f>O24+TIME(0,18,0)</f>
        <v>0.37083333333333335</v>
      </c>
      <c r="Q24" s="11">
        <f>P24+TIME(0,6,0)</f>
        <v>0.375</v>
      </c>
      <c r="R24" s="13">
        <v>0</v>
      </c>
      <c r="S24" s="2">
        <f>Z23+TIME(0,5,0)</f>
        <v>0.37083333333333335</v>
      </c>
      <c r="T24" s="2">
        <f t="shared" ref="T24:T30" si="11">TIME(0,6,0)+S24</f>
        <v>0.375</v>
      </c>
      <c r="U24" s="2">
        <f t="shared" ref="U24:U30" si="12">TIME(0,18,0)+T24</f>
        <v>0.38750000000000001</v>
      </c>
      <c r="V24" s="2">
        <f t="shared" ref="V24:V30" si="13">S24+TIME(0,40,0)</f>
        <v>0.39861111111111114</v>
      </c>
      <c r="W24" s="2">
        <f t="shared" ref="W24:W30" si="14">V24+TIME(0,5,0)</f>
        <v>0.40208333333333335</v>
      </c>
      <c r="X24" s="2">
        <f t="shared" ref="X24:X30" si="15">W24+TIME(0,16,0)</f>
        <v>0.41319444444444448</v>
      </c>
      <c r="Y24" s="2">
        <f t="shared" ref="Y24:Y30" si="16">X24+TIME(0,18,0)</f>
        <v>0.42569444444444449</v>
      </c>
      <c r="Z24" s="2">
        <f t="shared" ref="Z24:Z30" si="17">Y24+TIME(0,6,0)</f>
        <v>0.42986111111111114</v>
      </c>
      <c r="AA24" s="1">
        <v>0</v>
      </c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</row>
    <row r="25" spans="1:46" x14ac:dyDescent="0.3">
      <c r="A25" s="11">
        <f t="shared" ref="A25:A33" si="18">TIME(0,5,0)+H24</f>
        <v>0.38194444444444442</v>
      </c>
      <c r="B25" s="11">
        <f t="shared" ref="B25:B33" si="19">TIME(0,6,0)+A25</f>
        <v>0.38611111111111107</v>
      </c>
      <c r="C25" s="11">
        <f t="shared" ref="C25:C33" si="20">B25+TIME(0,18,0)</f>
        <v>0.39861111111111108</v>
      </c>
      <c r="D25" s="21">
        <f t="shared" ref="D25:D33" si="21">A25+TIME(0,40,0)</f>
        <v>0.40972222222222221</v>
      </c>
      <c r="E25" s="4">
        <f t="shared" si="9"/>
        <v>0.41319444444444442</v>
      </c>
      <c r="F25" s="4">
        <f t="shared" ref="F25:F33" si="22">E25+TIME(0,16,0)</f>
        <v>0.42430555555555555</v>
      </c>
      <c r="G25" s="4">
        <f t="shared" ref="G25:G33" si="23">F25+TIME(0,18,0)</f>
        <v>0.43680555555555556</v>
      </c>
      <c r="H25" s="4">
        <f t="shared" ref="H25:H33" si="24">G25+TIME(0,6,0)</f>
        <v>0.44097222222222221</v>
      </c>
      <c r="I25" s="12">
        <v>1</v>
      </c>
      <c r="J25" s="11">
        <f t="shared" ref="J25:J33" si="25">TIME(0,5,0)+Q24</f>
        <v>0.37847222222222221</v>
      </c>
      <c r="K25" s="11">
        <f t="shared" ref="K25:K33" si="26">TIME(0,6,0)+J25</f>
        <v>0.38263888888888886</v>
      </c>
      <c r="L25" s="11">
        <f t="shared" ref="L25:L33" si="27">K25+TIME(0,18,0)</f>
        <v>0.39513888888888887</v>
      </c>
      <c r="M25" s="21">
        <f t="shared" ref="M25:M33" si="28">J25+TIME(0,40,0)</f>
        <v>0.40625</v>
      </c>
      <c r="N25" s="11">
        <f t="shared" si="10"/>
        <v>0.40972222222222221</v>
      </c>
      <c r="O25" s="11">
        <f t="shared" ref="O25:O33" si="29">N25+TIME(0,16,0)</f>
        <v>0.42083333333333334</v>
      </c>
      <c r="P25" s="11">
        <f t="shared" ref="P25:P33" si="30">O25+TIME(0,18,0)</f>
        <v>0.43333333333333335</v>
      </c>
      <c r="Q25" s="11">
        <f t="shared" ref="Q25:Q33" si="31">P25+TIME(0,6,0)</f>
        <v>0.4375</v>
      </c>
      <c r="R25" s="13">
        <v>1</v>
      </c>
      <c r="S25" s="2">
        <f t="shared" ref="S25:S30" si="32">Z24+TIME(0,5,0)</f>
        <v>0.43333333333333335</v>
      </c>
      <c r="T25" s="2">
        <f t="shared" si="11"/>
        <v>0.4375</v>
      </c>
      <c r="U25" s="2">
        <f t="shared" si="12"/>
        <v>0.45</v>
      </c>
      <c r="V25" s="2">
        <f t="shared" si="13"/>
        <v>0.46111111111111114</v>
      </c>
      <c r="W25" s="2">
        <f t="shared" si="14"/>
        <v>0.46458333333333335</v>
      </c>
      <c r="X25" s="2">
        <f t="shared" si="15"/>
        <v>0.47569444444444448</v>
      </c>
      <c r="Y25" s="2">
        <f t="shared" si="16"/>
        <v>0.48819444444444449</v>
      </c>
      <c r="Z25" s="2">
        <f t="shared" si="17"/>
        <v>0.49236111111111114</v>
      </c>
      <c r="AA25" s="1">
        <v>0</v>
      </c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</row>
    <row r="26" spans="1:46" x14ac:dyDescent="0.3">
      <c r="A26" s="11">
        <f t="shared" si="18"/>
        <v>0.44444444444444442</v>
      </c>
      <c r="B26" s="11">
        <f t="shared" si="19"/>
        <v>0.44861111111111107</v>
      </c>
      <c r="C26" s="11">
        <f t="shared" si="20"/>
        <v>0.46111111111111108</v>
      </c>
      <c r="D26" s="21">
        <f t="shared" si="21"/>
        <v>0.47222222222222221</v>
      </c>
      <c r="E26" s="4">
        <f t="shared" si="9"/>
        <v>0.47569444444444442</v>
      </c>
      <c r="F26" s="4">
        <f t="shared" si="22"/>
        <v>0.48680555555555555</v>
      </c>
      <c r="G26" s="4">
        <f t="shared" si="23"/>
        <v>0.49930555555555556</v>
      </c>
      <c r="H26" s="4">
        <f t="shared" si="24"/>
        <v>0.50347222222222221</v>
      </c>
      <c r="I26" s="12">
        <v>0</v>
      </c>
      <c r="J26" s="11">
        <f t="shared" si="25"/>
        <v>0.44097222222222221</v>
      </c>
      <c r="K26" s="11">
        <f t="shared" si="26"/>
        <v>0.44513888888888886</v>
      </c>
      <c r="L26" s="11">
        <f t="shared" si="27"/>
        <v>0.45763888888888887</v>
      </c>
      <c r="M26" s="21">
        <f t="shared" si="28"/>
        <v>0.46875</v>
      </c>
      <c r="N26" s="11">
        <f t="shared" si="10"/>
        <v>0.47222222222222221</v>
      </c>
      <c r="O26" s="11">
        <f t="shared" si="29"/>
        <v>0.48333333333333334</v>
      </c>
      <c r="P26" s="11">
        <f t="shared" si="30"/>
        <v>0.49583333333333335</v>
      </c>
      <c r="Q26" s="11">
        <f t="shared" si="31"/>
        <v>0.5</v>
      </c>
      <c r="R26" s="13">
        <v>0</v>
      </c>
      <c r="S26" s="2">
        <f t="shared" si="32"/>
        <v>0.49583333333333335</v>
      </c>
      <c r="T26" s="2">
        <f t="shared" si="11"/>
        <v>0.5</v>
      </c>
      <c r="U26" s="2">
        <f t="shared" si="12"/>
        <v>0.51249999999999996</v>
      </c>
      <c r="V26" s="2">
        <f t="shared" si="13"/>
        <v>0.52361111111111114</v>
      </c>
      <c r="W26" s="2">
        <f t="shared" si="14"/>
        <v>0.52708333333333335</v>
      </c>
      <c r="X26" s="2">
        <f t="shared" si="15"/>
        <v>0.53819444444444442</v>
      </c>
      <c r="Y26" s="2">
        <f t="shared" si="16"/>
        <v>0.55069444444444438</v>
      </c>
      <c r="Z26" s="2">
        <f t="shared" si="17"/>
        <v>0.55486111111111103</v>
      </c>
      <c r="AA26" s="1">
        <v>0</v>
      </c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</row>
    <row r="27" spans="1:46" x14ac:dyDescent="0.3">
      <c r="A27" s="11">
        <f t="shared" si="18"/>
        <v>0.50694444444444442</v>
      </c>
      <c r="B27" s="11">
        <f t="shared" si="19"/>
        <v>0.51111111111111107</v>
      </c>
      <c r="C27" s="11">
        <f t="shared" si="20"/>
        <v>0.52361111111111103</v>
      </c>
      <c r="D27" s="21">
        <f t="shared" si="21"/>
        <v>0.53472222222222221</v>
      </c>
      <c r="E27" s="4">
        <f t="shared" si="9"/>
        <v>0.53819444444444442</v>
      </c>
      <c r="F27" s="4">
        <f t="shared" si="22"/>
        <v>0.54930555555555549</v>
      </c>
      <c r="G27" s="4">
        <f t="shared" si="23"/>
        <v>0.56180555555555545</v>
      </c>
      <c r="H27" s="4">
        <f t="shared" si="24"/>
        <v>0.5659722222222221</v>
      </c>
      <c r="I27" s="12">
        <v>0</v>
      </c>
      <c r="J27" s="11">
        <f t="shared" si="25"/>
        <v>0.50347222222222221</v>
      </c>
      <c r="K27" s="11">
        <f t="shared" si="26"/>
        <v>0.50763888888888886</v>
      </c>
      <c r="L27" s="11">
        <f t="shared" si="27"/>
        <v>0.52013888888888882</v>
      </c>
      <c r="M27" s="21">
        <f t="shared" si="28"/>
        <v>0.53125</v>
      </c>
      <c r="N27" s="11">
        <f t="shared" si="10"/>
        <v>0.53472222222222221</v>
      </c>
      <c r="O27" s="11">
        <f t="shared" si="29"/>
        <v>0.54583333333333328</v>
      </c>
      <c r="P27" s="11">
        <f t="shared" si="30"/>
        <v>0.55833333333333324</v>
      </c>
      <c r="Q27" s="11">
        <f t="shared" si="31"/>
        <v>0.56249999999999989</v>
      </c>
      <c r="R27" s="13">
        <v>0</v>
      </c>
      <c r="S27" s="2">
        <f>Z26+TIME(0,30,0)</f>
        <v>0.5756944444444444</v>
      </c>
      <c r="T27" s="2">
        <f t="shared" si="11"/>
        <v>0.57986111111111105</v>
      </c>
      <c r="U27" s="2">
        <f t="shared" si="12"/>
        <v>0.59236111111111101</v>
      </c>
      <c r="V27" s="2">
        <f t="shared" si="13"/>
        <v>0.60347222222222219</v>
      </c>
      <c r="W27" s="2">
        <f t="shared" si="14"/>
        <v>0.6069444444444444</v>
      </c>
      <c r="X27" s="2">
        <f t="shared" si="15"/>
        <v>0.61805555555555547</v>
      </c>
      <c r="Y27" s="2">
        <f t="shared" si="16"/>
        <v>0.63055555555555542</v>
      </c>
      <c r="Z27" s="2">
        <f t="shared" si="17"/>
        <v>0.63472222222222208</v>
      </c>
      <c r="AA27" s="1">
        <v>0</v>
      </c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</row>
    <row r="28" spans="1:46" x14ac:dyDescent="0.3">
      <c r="A28" s="11">
        <f t="shared" si="18"/>
        <v>0.56944444444444431</v>
      </c>
      <c r="B28" s="11">
        <f t="shared" si="19"/>
        <v>0.57361111111111096</v>
      </c>
      <c r="C28" s="11">
        <f t="shared" si="20"/>
        <v>0.58611111111111092</v>
      </c>
      <c r="D28" s="21">
        <f t="shared" si="21"/>
        <v>0.5972222222222221</v>
      </c>
      <c r="E28" s="4">
        <f t="shared" si="9"/>
        <v>0.60069444444444431</v>
      </c>
      <c r="F28" s="4">
        <f t="shared" si="22"/>
        <v>0.61180555555555538</v>
      </c>
      <c r="G28" s="4">
        <f t="shared" si="23"/>
        <v>0.62430555555555534</v>
      </c>
      <c r="H28" s="4">
        <f t="shared" si="24"/>
        <v>0.62847222222222199</v>
      </c>
      <c r="I28" s="12">
        <v>0</v>
      </c>
      <c r="J28" s="11">
        <f t="shared" si="25"/>
        <v>0.5659722222222221</v>
      </c>
      <c r="K28" s="11">
        <f t="shared" si="26"/>
        <v>0.57013888888888875</v>
      </c>
      <c r="L28" s="11">
        <f t="shared" si="27"/>
        <v>0.58263888888888871</v>
      </c>
      <c r="M28" s="21">
        <f t="shared" si="28"/>
        <v>0.59374999999999989</v>
      </c>
      <c r="N28" s="11">
        <f t="shared" si="10"/>
        <v>0.5972222222222221</v>
      </c>
      <c r="O28" s="11">
        <f t="shared" si="29"/>
        <v>0.60833333333333317</v>
      </c>
      <c r="P28" s="11">
        <f t="shared" si="30"/>
        <v>0.62083333333333313</v>
      </c>
      <c r="Q28" s="11">
        <f t="shared" si="31"/>
        <v>0.62499999999999978</v>
      </c>
      <c r="R28" s="13">
        <v>0</v>
      </c>
      <c r="S28" s="2">
        <f t="shared" si="32"/>
        <v>0.63819444444444429</v>
      </c>
      <c r="T28" s="2">
        <f t="shared" si="11"/>
        <v>0.64236111111111094</v>
      </c>
      <c r="U28" s="2">
        <f t="shared" si="12"/>
        <v>0.65486111111111089</v>
      </c>
      <c r="V28" s="2">
        <f t="shared" si="13"/>
        <v>0.66597222222222208</v>
      </c>
      <c r="W28" s="2">
        <f t="shared" si="14"/>
        <v>0.66944444444444429</v>
      </c>
      <c r="X28" s="2">
        <f t="shared" si="15"/>
        <v>0.68055555555555536</v>
      </c>
      <c r="Y28" s="2">
        <f t="shared" si="16"/>
        <v>0.69305555555555531</v>
      </c>
      <c r="Z28" s="2">
        <f t="shared" si="17"/>
        <v>0.69722222222222197</v>
      </c>
      <c r="AA28" s="1">
        <v>0</v>
      </c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</row>
    <row r="29" spans="1:46" x14ac:dyDescent="0.3">
      <c r="A29" s="11">
        <f t="shared" si="18"/>
        <v>0.6319444444444442</v>
      </c>
      <c r="B29" s="11">
        <f t="shared" si="19"/>
        <v>0.63611111111111085</v>
      </c>
      <c r="C29" s="11">
        <f t="shared" si="20"/>
        <v>0.64861111111111081</v>
      </c>
      <c r="D29" s="21">
        <f t="shared" si="21"/>
        <v>0.65972222222222199</v>
      </c>
      <c r="E29" s="4">
        <f t="shared" si="9"/>
        <v>0.6631944444444442</v>
      </c>
      <c r="F29" s="4">
        <f t="shared" si="22"/>
        <v>0.67430555555555527</v>
      </c>
      <c r="G29" s="4">
        <f t="shared" si="23"/>
        <v>0.68680555555555522</v>
      </c>
      <c r="H29" s="4">
        <f t="shared" si="24"/>
        <v>0.69097222222222188</v>
      </c>
      <c r="I29" s="12">
        <v>0</v>
      </c>
      <c r="J29" s="11">
        <f t="shared" si="25"/>
        <v>0.62847222222222199</v>
      </c>
      <c r="K29" s="11">
        <f t="shared" si="26"/>
        <v>0.63263888888888864</v>
      </c>
      <c r="L29" s="11">
        <f t="shared" si="27"/>
        <v>0.6451388888888886</v>
      </c>
      <c r="M29" s="21">
        <f t="shared" si="28"/>
        <v>0.65624999999999978</v>
      </c>
      <c r="N29" s="11">
        <f t="shared" si="10"/>
        <v>0.65972222222222199</v>
      </c>
      <c r="O29" s="11">
        <f t="shared" si="29"/>
        <v>0.67083333333333306</v>
      </c>
      <c r="P29" s="11">
        <f t="shared" si="30"/>
        <v>0.68333333333333302</v>
      </c>
      <c r="Q29" s="11">
        <f t="shared" si="31"/>
        <v>0.68749999999999967</v>
      </c>
      <c r="R29" s="13">
        <v>0</v>
      </c>
      <c r="S29" s="2">
        <f t="shared" si="32"/>
        <v>0.70069444444444418</v>
      </c>
      <c r="T29" s="2">
        <f t="shared" si="11"/>
        <v>0.70486111111111083</v>
      </c>
      <c r="U29" s="2">
        <f t="shared" si="12"/>
        <v>0.71736111111111078</v>
      </c>
      <c r="V29" s="2">
        <f t="shared" si="13"/>
        <v>0.72847222222222197</v>
      </c>
      <c r="W29" s="2">
        <f t="shared" si="14"/>
        <v>0.73194444444444418</v>
      </c>
      <c r="X29" s="2">
        <f t="shared" si="15"/>
        <v>0.74305555555555525</v>
      </c>
      <c r="Y29" s="2">
        <f t="shared" si="16"/>
        <v>0.7555555555555552</v>
      </c>
      <c r="Z29" s="2">
        <f t="shared" si="17"/>
        <v>0.75972222222222185</v>
      </c>
      <c r="AA29" s="1">
        <v>0</v>
      </c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</row>
    <row r="30" spans="1:46" x14ac:dyDescent="0.3">
      <c r="A30" s="11">
        <f t="shared" si="18"/>
        <v>0.69444444444444409</v>
      </c>
      <c r="B30" s="11">
        <f t="shared" si="19"/>
        <v>0.69861111111111074</v>
      </c>
      <c r="C30" s="11">
        <f t="shared" si="20"/>
        <v>0.71111111111111069</v>
      </c>
      <c r="D30" s="21">
        <f t="shared" si="21"/>
        <v>0.72222222222222188</v>
      </c>
      <c r="E30" s="4">
        <f t="shared" si="9"/>
        <v>0.72569444444444409</v>
      </c>
      <c r="F30" s="4">
        <f t="shared" si="22"/>
        <v>0.73680555555555516</v>
      </c>
      <c r="G30" s="4">
        <f t="shared" si="23"/>
        <v>0.74930555555555511</v>
      </c>
      <c r="H30" s="4">
        <f t="shared" si="24"/>
        <v>0.75347222222222177</v>
      </c>
      <c r="I30" s="12">
        <v>0</v>
      </c>
      <c r="J30" s="11">
        <f t="shared" si="25"/>
        <v>0.69097222222222188</v>
      </c>
      <c r="K30" s="11">
        <f t="shared" si="26"/>
        <v>0.69513888888888853</v>
      </c>
      <c r="L30" s="11">
        <f t="shared" si="27"/>
        <v>0.70763888888888848</v>
      </c>
      <c r="M30" s="21">
        <f t="shared" si="28"/>
        <v>0.71874999999999967</v>
      </c>
      <c r="N30" s="11">
        <f t="shared" si="10"/>
        <v>0.72222222222222188</v>
      </c>
      <c r="O30" s="11">
        <f t="shared" si="29"/>
        <v>0.73333333333333295</v>
      </c>
      <c r="P30" s="11">
        <f t="shared" si="30"/>
        <v>0.7458333333333329</v>
      </c>
      <c r="Q30" s="11">
        <f t="shared" si="31"/>
        <v>0.74999999999999956</v>
      </c>
      <c r="R30" s="13">
        <v>0</v>
      </c>
      <c r="S30" s="2">
        <f t="shared" si="32"/>
        <v>0.76319444444444406</v>
      </c>
      <c r="T30" s="2">
        <f t="shared" si="11"/>
        <v>0.76736111111111072</v>
      </c>
      <c r="U30" s="2">
        <f t="shared" si="12"/>
        <v>0.77986111111111067</v>
      </c>
      <c r="V30" s="2">
        <f t="shared" si="13"/>
        <v>0.79097222222222185</v>
      </c>
      <c r="W30" s="2">
        <f t="shared" si="14"/>
        <v>0.79444444444444406</v>
      </c>
      <c r="X30" s="2">
        <f t="shared" si="15"/>
        <v>0.80555555555555514</v>
      </c>
      <c r="Y30" s="2">
        <f t="shared" si="16"/>
        <v>0.81805555555555509</v>
      </c>
      <c r="Z30" s="2">
        <f t="shared" si="17"/>
        <v>0.82222222222222174</v>
      </c>
      <c r="AA30" s="1">
        <v>0</v>
      </c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</row>
    <row r="31" spans="1:46" x14ac:dyDescent="0.3">
      <c r="A31" s="11">
        <f t="shared" si="18"/>
        <v>0.75694444444444398</v>
      </c>
      <c r="B31" s="11">
        <f t="shared" si="19"/>
        <v>0.76111111111111063</v>
      </c>
      <c r="C31" s="11">
        <f t="shared" si="20"/>
        <v>0.77361111111111058</v>
      </c>
      <c r="D31" s="21">
        <f t="shared" si="21"/>
        <v>0.78472222222222177</v>
      </c>
      <c r="E31" s="4">
        <f t="shared" si="9"/>
        <v>0.78819444444444398</v>
      </c>
      <c r="F31" s="4">
        <f t="shared" si="22"/>
        <v>0.79930555555555505</v>
      </c>
      <c r="G31" s="4">
        <f t="shared" si="23"/>
        <v>0.811805555555555</v>
      </c>
      <c r="H31" s="4">
        <f t="shared" si="24"/>
        <v>0.81597222222222165</v>
      </c>
      <c r="I31" s="12">
        <v>0</v>
      </c>
      <c r="J31" s="11">
        <f t="shared" si="25"/>
        <v>0.75347222222222177</v>
      </c>
      <c r="K31" s="11">
        <f t="shared" si="26"/>
        <v>0.75763888888888842</v>
      </c>
      <c r="L31" s="11">
        <f t="shared" si="27"/>
        <v>0.77013888888888837</v>
      </c>
      <c r="M31" s="21">
        <f t="shared" si="28"/>
        <v>0.78124999999999956</v>
      </c>
      <c r="N31" s="11">
        <f t="shared" si="10"/>
        <v>0.78472222222222177</v>
      </c>
      <c r="O31" s="11">
        <f t="shared" si="29"/>
        <v>0.79583333333333284</v>
      </c>
      <c r="P31" s="11">
        <f t="shared" si="30"/>
        <v>0.80833333333333279</v>
      </c>
      <c r="Q31" s="11">
        <f t="shared" si="31"/>
        <v>0.81249999999999944</v>
      </c>
      <c r="R31" s="13">
        <v>0</v>
      </c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</row>
    <row r="32" spans="1:46" x14ac:dyDescent="0.3">
      <c r="A32" s="11">
        <f t="shared" si="18"/>
        <v>0.81944444444444386</v>
      </c>
      <c r="B32" s="11">
        <f t="shared" si="19"/>
        <v>0.82361111111111052</v>
      </c>
      <c r="C32" s="11">
        <f t="shared" si="20"/>
        <v>0.83611111111111047</v>
      </c>
      <c r="D32" s="21">
        <f t="shared" si="21"/>
        <v>0.84722222222222165</v>
      </c>
      <c r="E32" s="4">
        <f t="shared" si="9"/>
        <v>0.85069444444444386</v>
      </c>
      <c r="F32" s="4">
        <f t="shared" si="22"/>
        <v>0.86180555555555494</v>
      </c>
      <c r="G32" s="4">
        <f t="shared" si="23"/>
        <v>0.87430555555555489</v>
      </c>
      <c r="H32" s="4">
        <f t="shared" si="24"/>
        <v>0.87847222222222154</v>
      </c>
      <c r="I32" s="12">
        <v>0</v>
      </c>
      <c r="J32" s="11">
        <f t="shared" si="25"/>
        <v>0.81597222222222165</v>
      </c>
      <c r="K32" s="11">
        <f t="shared" si="26"/>
        <v>0.82013888888888831</v>
      </c>
      <c r="L32" s="11">
        <f t="shared" si="27"/>
        <v>0.83263888888888826</v>
      </c>
      <c r="M32" s="21">
        <f t="shared" si="28"/>
        <v>0.84374999999999944</v>
      </c>
      <c r="N32" s="11">
        <f t="shared" si="10"/>
        <v>0.84722222222222165</v>
      </c>
      <c r="O32" s="11">
        <f t="shared" si="29"/>
        <v>0.85833333333333273</v>
      </c>
      <c r="P32" s="11">
        <f t="shared" si="30"/>
        <v>0.87083333333333268</v>
      </c>
      <c r="Q32" s="11">
        <f t="shared" si="31"/>
        <v>0.87499999999999933</v>
      </c>
      <c r="R32" s="13">
        <v>0</v>
      </c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</row>
    <row r="33" spans="1:46" x14ac:dyDescent="0.3">
      <c r="A33" s="11">
        <f t="shared" si="18"/>
        <v>0.88194444444444375</v>
      </c>
      <c r="B33" s="11">
        <f t="shared" si="19"/>
        <v>0.88611111111111041</v>
      </c>
      <c r="C33" s="11">
        <f t="shared" si="20"/>
        <v>0.89861111111111036</v>
      </c>
      <c r="D33" s="21">
        <f t="shared" si="21"/>
        <v>0.90972222222222154</v>
      </c>
      <c r="E33" s="4">
        <f t="shared" si="9"/>
        <v>0.91319444444444375</v>
      </c>
      <c r="F33" s="4">
        <f t="shared" si="22"/>
        <v>0.92430555555555483</v>
      </c>
      <c r="G33" s="4">
        <f t="shared" si="23"/>
        <v>0.93680555555555478</v>
      </c>
      <c r="H33" s="4">
        <f t="shared" si="24"/>
        <v>0.94097222222222143</v>
      </c>
      <c r="I33" s="12">
        <v>0</v>
      </c>
      <c r="J33" s="11">
        <f t="shared" si="25"/>
        <v>0.87847222222222154</v>
      </c>
      <c r="K33" s="11">
        <f t="shared" si="26"/>
        <v>0.8826388888888882</v>
      </c>
      <c r="L33" s="11">
        <f t="shared" si="27"/>
        <v>0.89513888888888815</v>
      </c>
      <c r="M33" s="21">
        <f t="shared" si="28"/>
        <v>0.90624999999999933</v>
      </c>
      <c r="N33" s="11">
        <f t="shared" si="10"/>
        <v>0.90972222222222154</v>
      </c>
      <c r="O33" s="11">
        <f t="shared" si="29"/>
        <v>0.92083333333333262</v>
      </c>
      <c r="P33" s="11">
        <f t="shared" si="30"/>
        <v>0.93333333333333257</v>
      </c>
      <c r="Q33" s="11">
        <f t="shared" si="31"/>
        <v>0.93749999999999922</v>
      </c>
      <c r="R33" s="13">
        <v>0</v>
      </c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</row>
    <row r="34" spans="1:46" x14ac:dyDescent="0.3">
      <c r="A34" s="11">
        <f>TIME(0,5,0)+H33</f>
        <v>0.94444444444444364</v>
      </c>
      <c r="B34" s="11">
        <f>TIME(0,6,0)+A34</f>
        <v>0.94861111111111029</v>
      </c>
      <c r="C34" s="11">
        <f>B34+TIME(0,18,0)</f>
        <v>0.96111111111111025</v>
      </c>
      <c r="D34" s="21">
        <f>A34+TIME(0,40,0)</f>
        <v>0.97222222222222143</v>
      </c>
      <c r="E34" s="4">
        <f t="shared" si="9"/>
        <v>0.97569444444444364</v>
      </c>
      <c r="F34" s="4">
        <f>E34+TIME(0,16,0)</f>
        <v>0.98680555555555471</v>
      </c>
      <c r="G34" s="4">
        <f>F34+TIME(0,18,0)</f>
        <v>0.99930555555555467</v>
      </c>
      <c r="H34" s="4">
        <f>G34+TIME(0,6,0)</f>
        <v>1.0034722222222214</v>
      </c>
      <c r="I34" s="12">
        <v>0</v>
      </c>
      <c r="J34" s="11">
        <f>TIME(0,5,0)+Q33</f>
        <v>0.94097222222222143</v>
      </c>
      <c r="K34" s="11">
        <f>TIME(0,6,0)+J34</f>
        <v>0.94513888888888808</v>
      </c>
      <c r="L34" s="11">
        <f>K34+TIME(0,18,0)</f>
        <v>0.95763888888888804</v>
      </c>
      <c r="M34" s="21">
        <f>J34+TIME(0,40,0)</f>
        <v>0.96874999999999922</v>
      </c>
      <c r="N34" s="11">
        <f t="shared" si="10"/>
        <v>0.97222222222222143</v>
      </c>
      <c r="O34" s="11">
        <f>N34+TIME(0,16,0)</f>
        <v>0.9833333333333325</v>
      </c>
      <c r="P34" s="11">
        <f>O34+TIME(0,18,0)</f>
        <v>0.99583333333333246</v>
      </c>
      <c r="Q34" s="11">
        <f>P34+TIME(0,6,0)</f>
        <v>0.99999999999999911</v>
      </c>
      <c r="R34" s="13">
        <v>0</v>
      </c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</row>
    <row r="35" spans="1:46" x14ac:dyDescent="0.3">
      <c r="A35" s="1"/>
      <c r="B35" s="1"/>
      <c r="C35" s="1"/>
      <c r="D35" s="1"/>
      <c r="E35" s="1"/>
      <c r="F35" s="1"/>
      <c r="G35" s="1"/>
      <c r="H35" s="1"/>
      <c r="I35" s="20">
        <f xml:space="preserve"> SUM(I22:I34)</f>
        <v>2</v>
      </c>
      <c r="J35" s="1"/>
      <c r="K35" s="1"/>
      <c r="L35" s="1"/>
      <c r="M35" s="1"/>
      <c r="N35" s="1"/>
      <c r="O35" s="1"/>
      <c r="P35" s="1"/>
      <c r="Q35" s="1"/>
      <c r="R35" s="20">
        <f>SUM(R22:R34)</f>
        <v>2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</row>
    <row r="36" spans="1:46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</row>
    <row r="40" spans="1:46" x14ac:dyDescent="0.3">
      <c r="J40" s="19"/>
    </row>
  </sheetData>
  <mergeCells count="4">
    <mergeCell ref="G2:K2"/>
    <mergeCell ref="L2:P2"/>
    <mergeCell ref="J21:R21"/>
    <mergeCell ref="S21:Z2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F1BA5-FA05-413C-BFF6-D8962AE13903}">
  <sheetPr codeName="Sheet3"/>
  <dimension ref="A1:R40"/>
  <sheetViews>
    <sheetView topLeftCell="A10" zoomScale="82" workbookViewId="0">
      <selection activeCell="L19" sqref="L19"/>
    </sheetView>
  </sheetViews>
  <sheetFormatPr defaultRowHeight="14.4" x14ac:dyDescent="0.3"/>
  <cols>
    <col min="1" max="51" width="12.77734375" customWidth="1"/>
  </cols>
  <sheetData>
    <row r="1" spans="1:16" x14ac:dyDescent="0.3">
      <c r="A1" s="5" t="s">
        <v>5</v>
      </c>
      <c r="B1" s="6" t="s">
        <v>6</v>
      </c>
      <c r="C1" s="6" t="s">
        <v>10</v>
      </c>
      <c r="D1" s="6" t="s">
        <v>10</v>
      </c>
      <c r="E1" s="6" t="s">
        <v>10</v>
      </c>
      <c r="F1" s="6" t="s">
        <v>7</v>
      </c>
      <c r="G1" s="30" t="s">
        <v>8</v>
      </c>
      <c r="H1" s="30"/>
      <c r="I1" s="30"/>
      <c r="J1" s="30"/>
      <c r="K1" s="30"/>
      <c r="L1" s="31" t="s">
        <v>9</v>
      </c>
      <c r="M1" s="31"/>
      <c r="N1" s="31"/>
      <c r="O1" s="31"/>
      <c r="P1" s="31"/>
    </row>
    <row r="2" spans="1:16" x14ac:dyDescent="0.3">
      <c r="A2" s="7">
        <v>1</v>
      </c>
      <c r="B2" s="8">
        <f>TIME(4,50,0)</f>
        <v>0.20138888888888887</v>
      </c>
      <c r="C2" s="8">
        <f>TIME(5,5,0)</f>
        <v>0.21180555555555555</v>
      </c>
      <c r="D2" s="8">
        <f>TIME(5,25,0)</f>
        <v>0.22569444444444445</v>
      </c>
      <c r="E2" s="8">
        <f>TIME(5,25,0)</f>
        <v>0.22569444444444445</v>
      </c>
      <c r="F2" s="8">
        <f>TIME(5,38,0)</f>
        <v>0.23472222222222219</v>
      </c>
      <c r="G2" s="9">
        <f t="shared" ref="G2:G16" si="0">B2-TIME(0,15,0)</f>
        <v>0.19097222222222221</v>
      </c>
      <c r="H2" s="9">
        <f t="shared" ref="H2:J16" si="1">C2-TIME(0,15,0)</f>
        <v>0.2013888888888889</v>
      </c>
      <c r="I2" s="9">
        <f t="shared" si="1"/>
        <v>0.21527777777777779</v>
      </c>
      <c r="J2" s="9">
        <f t="shared" si="1"/>
        <v>0.21527777777777779</v>
      </c>
      <c r="K2" s="27">
        <f>F2-TIME(0,15,0)</f>
        <v>0.22430555555555554</v>
      </c>
      <c r="L2" s="26">
        <f>G2-TIME(0,15,0)</f>
        <v>0.18055555555555555</v>
      </c>
      <c r="M2" s="10">
        <f t="shared" ref="M2:P16" si="2">H2-TIME(0,15,0)</f>
        <v>0.19097222222222224</v>
      </c>
      <c r="N2" s="10">
        <f t="shared" si="2"/>
        <v>0.20486111111111113</v>
      </c>
      <c r="O2" s="10">
        <f t="shared" si="2"/>
        <v>0.20486111111111113</v>
      </c>
      <c r="P2" s="10">
        <f t="shared" si="2"/>
        <v>0.21388888888888888</v>
      </c>
    </row>
    <row r="3" spans="1:16" x14ac:dyDescent="0.3">
      <c r="A3" s="7">
        <v>2</v>
      </c>
      <c r="B3" s="8">
        <f>TIME(6,0,0)</f>
        <v>0.25</v>
      </c>
      <c r="C3" s="8">
        <f>TIME(6,30,0)</f>
        <v>0.27083333333333331</v>
      </c>
      <c r="D3" s="8">
        <f>TIME(6,35,0)</f>
        <v>0.27430555555555552</v>
      </c>
      <c r="E3" s="8">
        <f>TIME(6,40,0)</f>
        <v>0.27777777777777779</v>
      </c>
      <c r="F3" s="8">
        <f>TIME(7,0,0)</f>
        <v>0.29166666666666669</v>
      </c>
      <c r="G3" s="9">
        <f t="shared" si="0"/>
        <v>0.23958333333333334</v>
      </c>
      <c r="H3" s="9">
        <f t="shared" si="1"/>
        <v>0.26041666666666663</v>
      </c>
      <c r="I3" s="9">
        <f t="shared" si="1"/>
        <v>0.26388888888888884</v>
      </c>
      <c r="J3" s="9">
        <f t="shared" si="1"/>
        <v>0.2673611111111111</v>
      </c>
      <c r="K3" s="27">
        <f t="shared" ref="K3:K16" si="3">F3-TIME(0,15,0)</f>
        <v>0.28125</v>
      </c>
      <c r="L3" s="26">
        <f t="shared" ref="L3:L16" si="4">G3-TIME(0,15,0)</f>
        <v>0.22916666666666669</v>
      </c>
      <c r="M3" s="10">
        <f t="shared" si="2"/>
        <v>0.24999999999999997</v>
      </c>
      <c r="N3" s="10">
        <f t="shared" si="2"/>
        <v>0.25347222222222215</v>
      </c>
      <c r="O3" s="10">
        <f t="shared" si="2"/>
        <v>0.25694444444444442</v>
      </c>
      <c r="P3" s="10">
        <f t="shared" si="2"/>
        <v>0.27083333333333331</v>
      </c>
    </row>
    <row r="4" spans="1:16" x14ac:dyDescent="0.3">
      <c r="A4" s="7">
        <v>3</v>
      </c>
      <c r="B4" s="8">
        <f>TIME(7,15,0)</f>
        <v>0.30208333333333331</v>
      </c>
      <c r="C4" s="8">
        <f>TIME(7,15,0)</f>
        <v>0.30208333333333331</v>
      </c>
      <c r="D4" s="8">
        <f>TIME(7,35,0)</f>
        <v>0.31597222222222221</v>
      </c>
      <c r="E4" s="8">
        <f>TIME(7,55,0)</f>
        <v>0.3298611111111111</v>
      </c>
      <c r="F4" s="8">
        <f>TIME(8,10,0)</f>
        <v>0.34027777777777773</v>
      </c>
      <c r="G4" s="9">
        <f t="shared" si="0"/>
        <v>0.29166666666666663</v>
      </c>
      <c r="H4" s="9">
        <f t="shared" si="1"/>
        <v>0.29166666666666663</v>
      </c>
      <c r="I4" s="9">
        <f t="shared" si="1"/>
        <v>0.30555555555555552</v>
      </c>
      <c r="J4" s="9">
        <f t="shared" si="1"/>
        <v>0.31944444444444442</v>
      </c>
      <c r="K4" s="27">
        <f t="shared" si="3"/>
        <v>0.32986111111111105</v>
      </c>
      <c r="L4" s="26">
        <f t="shared" si="4"/>
        <v>0.28124999999999994</v>
      </c>
      <c r="M4" s="10">
        <f t="shared" si="2"/>
        <v>0.28124999999999994</v>
      </c>
      <c r="N4" s="10">
        <f t="shared" si="2"/>
        <v>0.29513888888888884</v>
      </c>
      <c r="O4" s="10">
        <f t="shared" si="2"/>
        <v>0.30902777777777773</v>
      </c>
      <c r="P4" s="10">
        <f t="shared" si="2"/>
        <v>0.31944444444444436</v>
      </c>
    </row>
    <row r="5" spans="1:16" x14ac:dyDescent="0.3">
      <c r="A5" s="7">
        <v>4</v>
      </c>
      <c r="B5" s="8">
        <f>TIME(9,0,0)</f>
        <v>0.375</v>
      </c>
      <c r="C5" s="8">
        <f>TIME(9,20,0)</f>
        <v>0.3888888888888889</v>
      </c>
      <c r="D5" s="8">
        <f>TIME(9,30,0)</f>
        <v>0.39583333333333331</v>
      </c>
      <c r="E5" s="8">
        <f>TIME(9,55,0)</f>
        <v>0.41319444444444442</v>
      </c>
      <c r="F5" s="8">
        <f>TIME(10,5,0)</f>
        <v>0.4201388888888889</v>
      </c>
      <c r="G5" s="9">
        <f t="shared" si="0"/>
        <v>0.36458333333333331</v>
      </c>
      <c r="H5" s="9">
        <f t="shared" si="1"/>
        <v>0.37847222222222221</v>
      </c>
      <c r="I5" s="9">
        <f t="shared" si="1"/>
        <v>0.38541666666666663</v>
      </c>
      <c r="J5" s="9">
        <f t="shared" si="1"/>
        <v>0.40277777777777773</v>
      </c>
      <c r="K5" s="27">
        <f t="shared" si="3"/>
        <v>0.40972222222222221</v>
      </c>
      <c r="L5" s="26">
        <f t="shared" si="4"/>
        <v>0.35416666666666663</v>
      </c>
      <c r="M5" s="10">
        <f t="shared" si="2"/>
        <v>0.36805555555555552</v>
      </c>
      <c r="N5" s="10">
        <f t="shared" si="2"/>
        <v>0.37499999999999994</v>
      </c>
      <c r="O5" s="10">
        <f t="shared" si="2"/>
        <v>0.39236111111111105</v>
      </c>
      <c r="P5" s="10">
        <f t="shared" si="2"/>
        <v>0.39930555555555552</v>
      </c>
    </row>
    <row r="6" spans="1:16" x14ac:dyDescent="0.3">
      <c r="A6" s="7">
        <v>5</v>
      </c>
      <c r="B6" s="8">
        <f>TIME(10,15,0)</f>
        <v>0.42708333333333331</v>
      </c>
      <c r="C6" s="8">
        <f>TIME(10,25,0)</f>
        <v>0.43402777777777773</v>
      </c>
      <c r="D6" s="8">
        <f>TIME(10,35,0)</f>
        <v>0.44097222222222227</v>
      </c>
      <c r="E6" s="8">
        <f>TIME(11,5,0)</f>
        <v>0.46180555555555558</v>
      </c>
      <c r="F6" s="8">
        <f>TIME(11,15,0)</f>
        <v>0.46875</v>
      </c>
      <c r="G6" s="9">
        <f t="shared" si="0"/>
        <v>0.41666666666666663</v>
      </c>
      <c r="H6" s="9">
        <f t="shared" si="1"/>
        <v>0.42361111111111105</v>
      </c>
      <c r="I6" s="9">
        <f t="shared" si="1"/>
        <v>0.43055555555555558</v>
      </c>
      <c r="J6" s="9">
        <f t="shared" si="1"/>
        <v>0.4513888888888889</v>
      </c>
      <c r="K6" s="27">
        <f t="shared" si="3"/>
        <v>0.45833333333333331</v>
      </c>
      <c r="L6" s="26">
        <f t="shared" si="4"/>
        <v>0.40624999999999994</v>
      </c>
      <c r="M6" s="10">
        <f t="shared" si="2"/>
        <v>0.41319444444444436</v>
      </c>
      <c r="N6" s="10">
        <f t="shared" si="2"/>
        <v>0.4201388888888889</v>
      </c>
      <c r="O6" s="10">
        <f t="shared" si="2"/>
        <v>0.44097222222222221</v>
      </c>
      <c r="P6" s="10">
        <f t="shared" si="2"/>
        <v>0.44791666666666663</v>
      </c>
    </row>
    <row r="7" spans="1:16" x14ac:dyDescent="0.3">
      <c r="A7" s="7">
        <v>6</v>
      </c>
      <c r="B7" s="8">
        <f>TIME(11,20,0)</f>
        <v>0.47222222222222227</v>
      </c>
      <c r="C7" s="8">
        <f>TIME(11,30,0)</f>
        <v>0.47916666666666669</v>
      </c>
      <c r="D7" s="8">
        <f>TIME(11,45,0)</f>
        <v>0.48958333333333331</v>
      </c>
      <c r="E7" s="8">
        <f>TIME(11,55,0)</f>
        <v>0.49652777777777773</v>
      </c>
      <c r="F7" s="8">
        <f>TIME(12,5,5)</f>
        <v>0.50353009259259263</v>
      </c>
      <c r="G7" s="9">
        <f t="shared" si="0"/>
        <v>0.46180555555555558</v>
      </c>
      <c r="H7" s="9">
        <f t="shared" si="1"/>
        <v>0.46875</v>
      </c>
      <c r="I7" s="9">
        <f t="shared" si="1"/>
        <v>0.47916666666666663</v>
      </c>
      <c r="J7" s="9">
        <f t="shared" si="1"/>
        <v>0.48611111111111105</v>
      </c>
      <c r="K7" s="27">
        <f t="shared" si="3"/>
        <v>0.49311342592592594</v>
      </c>
      <c r="L7" s="26">
        <f t="shared" si="4"/>
        <v>0.4513888888888889</v>
      </c>
      <c r="M7" s="10">
        <f t="shared" si="2"/>
        <v>0.45833333333333331</v>
      </c>
      <c r="N7" s="10">
        <f t="shared" si="2"/>
        <v>0.46874999999999994</v>
      </c>
      <c r="O7" s="10">
        <f t="shared" si="2"/>
        <v>0.47569444444444436</v>
      </c>
      <c r="P7" s="10">
        <f t="shared" si="2"/>
        <v>0.48269675925925926</v>
      </c>
    </row>
    <row r="8" spans="1:16" x14ac:dyDescent="0.3">
      <c r="A8" s="7">
        <v>7</v>
      </c>
      <c r="B8" s="8">
        <f>TIME(12,30,0)</f>
        <v>0.52083333333333337</v>
      </c>
      <c r="C8" s="8">
        <f>TIME(12,35,0)</f>
        <v>0.52430555555555558</v>
      </c>
      <c r="D8" s="8">
        <f>TIME(13,0,0)</f>
        <v>0.54166666666666663</v>
      </c>
      <c r="E8" s="8">
        <f>TIME(13,10,0)</f>
        <v>0.54861111111111105</v>
      </c>
      <c r="F8" s="8">
        <f>TIME(13,35,0)</f>
        <v>0.56597222222222221</v>
      </c>
      <c r="G8" s="9">
        <f t="shared" si="0"/>
        <v>0.51041666666666674</v>
      </c>
      <c r="H8" s="9">
        <f t="shared" si="1"/>
        <v>0.51388888888888895</v>
      </c>
      <c r="I8" s="9">
        <f t="shared" si="1"/>
        <v>0.53125</v>
      </c>
      <c r="J8" s="9">
        <f t="shared" si="1"/>
        <v>0.53819444444444442</v>
      </c>
      <c r="K8" s="27">
        <f t="shared" si="3"/>
        <v>0.55555555555555558</v>
      </c>
      <c r="L8" s="26">
        <f t="shared" si="4"/>
        <v>0.50000000000000011</v>
      </c>
      <c r="M8" s="10">
        <f t="shared" si="2"/>
        <v>0.50347222222222232</v>
      </c>
      <c r="N8" s="10">
        <f t="shared" si="2"/>
        <v>0.52083333333333337</v>
      </c>
      <c r="O8" s="10">
        <f t="shared" si="2"/>
        <v>0.52777777777777779</v>
      </c>
      <c r="P8" s="10">
        <f t="shared" si="2"/>
        <v>0.54513888888888895</v>
      </c>
    </row>
    <row r="9" spans="1:16" x14ac:dyDescent="0.3">
      <c r="A9" s="7">
        <v>8</v>
      </c>
      <c r="B9" s="8">
        <f>TIME(13,50,0)</f>
        <v>0.57638888888888895</v>
      </c>
      <c r="C9" s="8">
        <f>TIME(13,55,0)</f>
        <v>0.57986111111111105</v>
      </c>
      <c r="D9" s="8">
        <f>TIME(14,5,0)</f>
        <v>0.58680555555555558</v>
      </c>
      <c r="E9" s="8">
        <f>TIME(14,20,0)</f>
        <v>0.59722222222222221</v>
      </c>
      <c r="F9" s="8">
        <f>TIME(14,45,0)</f>
        <v>0.61458333333333337</v>
      </c>
      <c r="G9" s="9">
        <f t="shared" si="0"/>
        <v>0.56597222222222232</v>
      </c>
      <c r="H9" s="9">
        <f t="shared" si="1"/>
        <v>0.56944444444444442</v>
      </c>
      <c r="I9" s="9">
        <f t="shared" si="1"/>
        <v>0.57638888888888895</v>
      </c>
      <c r="J9" s="9">
        <f t="shared" si="1"/>
        <v>0.58680555555555558</v>
      </c>
      <c r="K9" s="27">
        <f t="shared" si="3"/>
        <v>0.60416666666666674</v>
      </c>
      <c r="L9" s="26">
        <f t="shared" si="4"/>
        <v>0.55555555555555569</v>
      </c>
      <c r="M9" s="10">
        <f t="shared" si="2"/>
        <v>0.55902777777777779</v>
      </c>
      <c r="N9" s="10">
        <f t="shared" si="2"/>
        <v>0.56597222222222232</v>
      </c>
      <c r="O9" s="10">
        <f t="shared" si="2"/>
        <v>0.57638888888888895</v>
      </c>
      <c r="P9" s="10">
        <f t="shared" si="2"/>
        <v>0.59375000000000011</v>
      </c>
    </row>
    <row r="10" spans="1:16" x14ac:dyDescent="0.3">
      <c r="A10" s="7">
        <v>9</v>
      </c>
      <c r="B10" s="8">
        <f>TIME(15,10,0)</f>
        <v>0.63194444444444442</v>
      </c>
      <c r="C10" s="8">
        <f>TIME(15,30,0)</f>
        <v>0.64583333333333337</v>
      </c>
      <c r="D10" s="8">
        <f>TIME(15,50,0)</f>
        <v>0.65972222222222221</v>
      </c>
      <c r="E10" s="8">
        <f>TIME(16,10,0)</f>
        <v>0.67361111111111116</v>
      </c>
      <c r="F10" s="8">
        <f>TIME(16,20,0)</f>
        <v>0.68055555555555547</v>
      </c>
      <c r="G10" s="9">
        <f t="shared" si="0"/>
        <v>0.62152777777777779</v>
      </c>
      <c r="H10" s="9">
        <f t="shared" si="1"/>
        <v>0.63541666666666674</v>
      </c>
      <c r="I10" s="9">
        <f t="shared" si="1"/>
        <v>0.64930555555555558</v>
      </c>
      <c r="J10" s="9">
        <f t="shared" si="1"/>
        <v>0.66319444444444453</v>
      </c>
      <c r="K10" s="27">
        <f t="shared" si="3"/>
        <v>0.67013888888888884</v>
      </c>
      <c r="L10" s="26">
        <f t="shared" si="4"/>
        <v>0.61111111111111116</v>
      </c>
      <c r="M10" s="10">
        <f t="shared" si="2"/>
        <v>0.62500000000000011</v>
      </c>
      <c r="N10" s="10">
        <f t="shared" si="2"/>
        <v>0.63888888888888895</v>
      </c>
      <c r="O10" s="10">
        <f t="shared" si="2"/>
        <v>0.6527777777777779</v>
      </c>
      <c r="P10" s="10">
        <f t="shared" si="2"/>
        <v>0.65972222222222221</v>
      </c>
    </row>
    <row r="11" spans="1:16" x14ac:dyDescent="0.3">
      <c r="A11" s="7">
        <v>10</v>
      </c>
      <c r="B11" s="8">
        <f>TIME(16,30,0)</f>
        <v>0.6875</v>
      </c>
      <c r="C11" s="8">
        <f>TIME(16,45,0)</f>
        <v>0.69791666666666663</v>
      </c>
      <c r="D11" s="8">
        <f>TIME(16,55,0)</f>
        <v>0.70486111111111116</v>
      </c>
      <c r="E11" s="8">
        <f>TIME(17,0,0)</f>
        <v>0.70833333333333337</v>
      </c>
      <c r="F11" s="8">
        <f>TIME(17,30,0)</f>
        <v>0.72916666666666663</v>
      </c>
      <c r="G11" s="9">
        <f t="shared" si="0"/>
        <v>0.67708333333333337</v>
      </c>
      <c r="H11" s="9">
        <f t="shared" si="1"/>
        <v>0.6875</v>
      </c>
      <c r="I11" s="9">
        <f t="shared" si="1"/>
        <v>0.69444444444444453</v>
      </c>
      <c r="J11" s="9">
        <f t="shared" si="1"/>
        <v>0.69791666666666674</v>
      </c>
      <c r="K11" s="27">
        <f t="shared" si="3"/>
        <v>0.71875</v>
      </c>
      <c r="L11" s="26">
        <f t="shared" si="4"/>
        <v>0.66666666666666674</v>
      </c>
      <c r="M11" s="10">
        <f t="shared" si="2"/>
        <v>0.67708333333333337</v>
      </c>
      <c r="N11" s="10">
        <f t="shared" si="2"/>
        <v>0.6840277777777779</v>
      </c>
      <c r="O11" s="10">
        <f t="shared" si="2"/>
        <v>0.68750000000000011</v>
      </c>
      <c r="P11" s="10">
        <f t="shared" si="2"/>
        <v>0.70833333333333337</v>
      </c>
    </row>
    <row r="12" spans="1:16" x14ac:dyDescent="0.3">
      <c r="A12" s="7">
        <v>11</v>
      </c>
      <c r="B12" s="8">
        <f>TIME(17,45,0)</f>
        <v>0.73958333333333337</v>
      </c>
      <c r="C12" s="8">
        <f>TIME(18,0,0)</f>
        <v>0.75</v>
      </c>
      <c r="D12" s="8">
        <f>TIME(18,25,0)</f>
        <v>0.76736111111111116</v>
      </c>
      <c r="E12" s="8">
        <f>TIME(18,35,0)</f>
        <v>0.77430555555555547</v>
      </c>
      <c r="F12" s="8">
        <f>TIME(18,50,0)</f>
        <v>0.78472222222222221</v>
      </c>
      <c r="G12" s="9">
        <f t="shared" si="0"/>
        <v>0.72916666666666674</v>
      </c>
      <c r="H12" s="9">
        <f t="shared" si="1"/>
        <v>0.73958333333333337</v>
      </c>
      <c r="I12" s="9">
        <f t="shared" si="1"/>
        <v>0.75694444444444453</v>
      </c>
      <c r="J12" s="9">
        <f t="shared" si="1"/>
        <v>0.76388888888888884</v>
      </c>
      <c r="K12" s="27">
        <f t="shared" si="3"/>
        <v>0.77430555555555558</v>
      </c>
      <c r="L12" s="26">
        <f t="shared" si="4"/>
        <v>0.71875000000000011</v>
      </c>
      <c r="M12" s="10">
        <f t="shared" si="2"/>
        <v>0.72916666666666674</v>
      </c>
      <c r="N12" s="10">
        <f t="shared" si="2"/>
        <v>0.7465277777777779</v>
      </c>
      <c r="O12" s="10">
        <f t="shared" si="2"/>
        <v>0.75347222222222221</v>
      </c>
      <c r="P12" s="10">
        <f t="shared" si="2"/>
        <v>0.76388888888888895</v>
      </c>
    </row>
    <row r="13" spans="1:16" x14ac:dyDescent="0.3">
      <c r="A13" s="7">
        <v>12</v>
      </c>
      <c r="B13" s="8">
        <f>TIME(19,0,0)</f>
        <v>0.79166666666666663</v>
      </c>
      <c r="C13" s="8">
        <f>TIME(19,5,0)</f>
        <v>0.79513888888888884</v>
      </c>
      <c r="D13" s="8">
        <f>TIME(19,20,0)</f>
        <v>0.80555555555555547</v>
      </c>
      <c r="E13" s="8">
        <f>TIME(19,30,0)</f>
        <v>0.8125</v>
      </c>
      <c r="F13" s="8">
        <f>TIME(19,55,0)</f>
        <v>0.82986111111111116</v>
      </c>
      <c r="G13" s="9">
        <f t="shared" si="0"/>
        <v>0.78125</v>
      </c>
      <c r="H13" s="9">
        <f t="shared" si="1"/>
        <v>0.78472222222222221</v>
      </c>
      <c r="I13" s="9">
        <f t="shared" si="1"/>
        <v>0.79513888888888884</v>
      </c>
      <c r="J13" s="9">
        <f t="shared" si="1"/>
        <v>0.80208333333333337</v>
      </c>
      <c r="K13" s="27">
        <f t="shared" si="3"/>
        <v>0.81944444444444453</v>
      </c>
      <c r="L13" s="26">
        <f t="shared" si="4"/>
        <v>0.77083333333333337</v>
      </c>
      <c r="M13" s="10">
        <f t="shared" si="2"/>
        <v>0.77430555555555558</v>
      </c>
      <c r="N13" s="10">
        <f t="shared" si="2"/>
        <v>0.78472222222222221</v>
      </c>
      <c r="O13" s="10">
        <f t="shared" si="2"/>
        <v>0.79166666666666674</v>
      </c>
      <c r="P13" s="10">
        <f t="shared" si="2"/>
        <v>0.8090277777777779</v>
      </c>
    </row>
    <row r="14" spans="1:16" x14ac:dyDescent="0.3">
      <c r="A14" s="7">
        <v>13</v>
      </c>
      <c r="B14" s="8">
        <f>TIME(20,5,0)</f>
        <v>0.83680555555555547</v>
      </c>
      <c r="C14" s="8">
        <f>TIME(20,20,0)</f>
        <v>0.84722222222222221</v>
      </c>
      <c r="D14" s="8">
        <f>TIME(20,40,0)</f>
        <v>0.86111111111111116</v>
      </c>
      <c r="E14" s="8">
        <f>TIME(20,55,0)</f>
        <v>0.87152777777777779</v>
      </c>
      <c r="F14" s="8">
        <f>TIME(21,5,0)</f>
        <v>0.87847222222222221</v>
      </c>
      <c r="G14" s="9">
        <f t="shared" si="0"/>
        <v>0.82638888888888884</v>
      </c>
      <c r="H14" s="9">
        <f t="shared" si="1"/>
        <v>0.83680555555555558</v>
      </c>
      <c r="I14" s="9">
        <f t="shared" si="1"/>
        <v>0.85069444444444453</v>
      </c>
      <c r="J14" s="9">
        <f t="shared" si="1"/>
        <v>0.86111111111111116</v>
      </c>
      <c r="K14" s="27">
        <f t="shared" si="3"/>
        <v>0.86805555555555558</v>
      </c>
      <c r="L14" s="26">
        <f t="shared" si="4"/>
        <v>0.81597222222222221</v>
      </c>
      <c r="M14" s="10">
        <f t="shared" si="2"/>
        <v>0.82638888888888895</v>
      </c>
      <c r="N14" s="10">
        <f t="shared" si="2"/>
        <v>0.8402777777777779</v>
      </c>
      <c r="O14" s="10">
        <f t="shared" si="2"/>
        <v>0.85069444444444453</v>
      </c>
      <c r="P14" s="10">
        <f t="shared" si="2"/>
        <v>0.85763888888888895</v>
      </c>
    </row>
    <row r="15" spans="1:16" x14ac:dyDescent="0.3">
      <c r="A15" s="7">
        <v>14</v>
      </c>
      <c r="B15" s="8">
        <f>TIME(21,40,0)</f>
        <v>0.90277777777777779</v>
      </c>
      <c r="C15" s="8">
        <f>TIME(22,5,0)</f>
        <v>0.92013888888888884</v>
      </c>
      <c r="D15" s="8">
        <f>TIME(22,25,0)</f>
        <v>0.93402777777777779</v>
      </c>
      <c r="E15" s="8">
        <f>TIME(22,25,0)</f>
        <v>0.93402777777777779</v>
      </c>
      <c r="F15" s="8">
        <f>TIME(22,35,0)</f>
        <v>0.94097222222222221</v>
      </c>
      <c r="G15" s="9">
        <f t="shared" si="0"/>
        <v>0.89236111111111116</v>
      </c>
      <c r="H15" s="9">
        <f t="shared" si="1"/>
        <v>0.90972222222222221</v>
      </c>
      <c r="I15" s="9">
        <f t="shared" si="1"/>
        <v>0.92361111111111116</v>
      </c>
      <c r="J15" s="9">
        <f t="shared" si="1"/>
        <v>0.92361111111111116</v>
      </c>
      <c r="K15" s="27">
        <f t="shared" si="3"/>
        <v>0.93055555555555558</v>
      </c>
      <c r="L15" s="26">
        <f t="shared" si="4"/>
        <v>0.88194444444444453</v>
      </c>
      <c r="M15" s="10">
        <f t="shared" si="2"/>
        <v>0.89930555555555558</v>
      </c>
      <c r="N15" s="10">
        <f t="shared" si="2"/>
        <v>0.91319444444444453</v>
      </c>
      <c r="O15" s="10">
        <f t="shared" si="2"/>
        <v>0.91319444444444453</v>
      </c>
      <c r="P15" s="10">
        <f t="shared" si="2"/>
        <v>0.92013888888888895</v>
      </c>
    </row>
    <row r="16" spans="1:16" x14ac:dyDescent="0.3">
      <c r="A16" s="7">
        <v>15</v>
      </c>
      <c r="B16" s="8">
        <f>TIME(22,55,0)</f>
        <v>0.95486111111111116</v>
      </c>
      <c r="C16" s="8">
        <f>TIME(23,10,0)</f>
        <v>0.96527777777777779</v>
      </c>
      <c r="D16" s="8">
        <f>TIME(23,10,0)</f>
        <v>0.96527777777777779</v>
      </c>
      <c r="E16" s="8">
        <f>TIME(23,10,0)</f>
        <v>0.96527777777777779</v>
      </c>
      <c r="F16" s="8">
        <f>TIME(23,25,0)</f>
        <v>0.97569444444444453</v>
      </c>
      <c r="G16" s="9">
        <f t="shared" si="0"/>
        <v>0.94444444444444453</v>
      </c>
      <c r="H16" s="9">
        <f t="shared" si="1"/>
        <v>0.95486111111111116</v>
      </c>
      <c r="I16" s="9">
        <f t="shared" si="1"/>
        <v>0.95486111111111116</v>
      </c>
      <c r="J16" s="9">
        <f t="shared" si="1"/>
        <v>0.95486111111111116</v>
      </c>
      <c r="K16" s="27">
        <f t="shared" si="3"/>
        <v>0.9652777777777779</v>
      </c>
      <c r="L16" s="26">
        <f t="shared" si="4"/>
        <v>0.9340277777777779</v>
      </c>
      <c r="M16" s="10">
        <f t="shared" si="2"/>
        <v>0.94444444444444453</v>
      </c>
      <c r="N16" s="10">
        <f t="shared" si="2"/>
        <v>0.94444444444444453</v>
      </c>
      <c r="O16" s="10">
        <f t="shared" si="2"/>
        <v>0.94444444444444453</v>
      </c>
      <c r="P16" s="10">
        <f t="shared" si="2"/>
        <v>0.95486111111111127</v>
      </c>
    </row>
    <row r="20" spans="1:18" ht="15" thickBot="1" x14ac:dyDescent="0.35"/>
    <row r="21" spans="1:18" ht="15" customHeight="1" thickBot="1" x14ac:dyDescent="0.35">
      <c r="A21" s="15" t="s">
        <v>0</v>
      </c>
      <c r="B21" s="16" t="s">
        <v>3</v>
      </c>
      <c r="C21" s="16" t="s">
        <v>4</v>
      </c>
      <c r="D21" s="16" t="s">
        <v>2</v>
      </c>
      <c r="E21" s="17" t="s">
        <v>2</v>
      </c>
      <c r="F21" s="17" t="s">
        <v>4</v>
      </c>
      <c r="G21" s="17" t="s">
        <v>3</v>
      </c>
      <c r="H21" s="17" t="s">
        <v>0</v>
      </c>
      <c r="I21" s="36" t="s">
        <v>12</v>
      </c>
      <c r="J21" s="37" t="s">
        <v>13</v>
      </c>
      <c r="K21" s="25"/>
      <c r="L21" s="25"/>
      <c r="M21" s="25"/>
      <c r="N21" s="25"/>
      <c r="O21" s="25"/>
      <c r="P21" s="25"/>
      <c r="Q21" s="25"/>
      <c r="R21" s="25"/>
    </row>
    <row r="22" spans="1:18" x14ac:dyDescent="0.3">
      <c r="A22" s="11">
        <f>TIME(7,24,0)</f>
        <v>0.30833333333333335</v>
      </c>
      <c r="B22" s="11">
        <f>TIME(0,6,0)+A22</f>
        <v>0.3125</v>
      </c>
      <c r="C22" s="11">
        <f>B22+TIME(0,18,0)</f>
        <v>0.32500000000000001</v>
      </c>
      <c r="D22" s="11">
        <f>A22+TIME(0,40,0)</f>
        <v>0.33611111111111114</v>
      </c>
      <c r="E22" s="4">
        <f>D22+TIME(0,5,0)</f>
        <v>0.33958333333333335</v>
      </c>
      <c r="F22" s="4">
        <f>E22+TIME(0,16,0)</f>
        <v>0.35069444444444448</v>
      </c>
      <c r="G22" s="4">
        <f>F22+TIME(0,18,0)</f>
        <v>0.36319444444444449</v>
      </c>
      <c r="H22" s="42">
        <f>G22+TIME(0,6,0)</f>
        <v>0.36736111111111114</v>
      </c>
      <c r="I22" s="36">
        <v>1</v>
      </c>
      <c r="J22" s="39">
        <v>4</v>
      </c>
      <c r="K22" s="41"/>
      <c r="L22" s="22"/>
      <c r="M22" s="22"/>
      <c r="N22" s="22"/>
      <c r="O22" s="22"/>
      <c r="P22" s="22"/>
      <c r="Q22" s="22"/>
      <c r="R22" s="24"/>
    </row>
    <row r="23" spans="1:18" x14ac:dyDescent="0.3">
      <c r="A23" s="11">
        <f>TIME(0,5,0)+H22</f>
        <v>0.37083333333333335</v>
      </c>
      <c r="B23" s="11">
        <f>TIME(0,6,0)+A23</f>
        <v>0.375</v>
      </c>
      <c r="C23" s="11">
        <f>B23+TIME(0,18,0)</f>
        <v>0.38750000000000001</v>
      </c>
      <c r="D23" s="11">
        <f>A23+TIME(0,40,0)</f>
        <v>0.39861111111111114</v>
      </c>
      <c r="E23" s="4">
        <f t="shared" ref="E23:E29" si="5">D23+TIME(0,5,0)</f>
        <v>0.40208333333333335</v>
      </c>
      <c r="F23" s="4">
        <f>E23+TIME(0,16,0)</f>
        <v>0.41319444444444448</v>
      </c>
      <c r="G23" s="4">
        <f>F23+TIME(0,18,0)</f>
        <v>0.42569444444444449</v>
      </c>
      <c r="H23" s="42">
        <f>G23+TIME(0,6,0)</f>
        <v>0.42986111111111114</v>
      </c>
      <c r="I23" s="36">
        <v>1</v>
      </c>
      <c r="J23" s="39">
        <v>5</v>
      </c>
      <c r="K23" s="41"/>
      <c r="L23" s="22"/>
      <c r="M23" s="22"/>
      <c r="N23" s="22"/>
      <c r="O23" s="22"/>
      <c r="P23" s="22"/>
      <c r="Q23" s="22"/>
      <c r="R23" s="24"/>
    </row>
    <row r="24" spans="1:18" x14ac:dyDescent="0.3">
      <c r="A24" s="11">
        <f>TIME(0,5,0)+H23</f>
        <v>0.43333333333333335</v>
      </c>
      <c r="B24" s="11">
        <f>TIME(0,6,0)+A24</f>
        <v>0.4375</v>
      </c>
      <c r="C24" s="11">
        <f>B24+TIME(0,18,0)</f>
        <v>0.45</v>
      </c>
      <c r="D24" s="11">
        <f>A24+TIME(0,40,0)</f>
        <v>0.46111111111111114</v>
      </c>
      <c r="E24" s="4">
        <f t="shared" si="5"/>
        <v>0.46458333333333335</v>
      </c>
      <c r="F24" s="4">
        <f>E24+TIME(0,16,0)</f>
        <v>0.47569444444444448</v>
      </c>
      <c r="G24" s="4">
        <f>F24+TIME(0,18,0)</f>
        <v>0.48819444444444449</v>
      </c>
      <c r="H24" s="42">
        <f>G24+TIME(0,6,0)</f>
        <v>0.49236111111111114</v>
      </c>
      <c r="I24" s="36">
        <v>1</v>
      </c>
      <c r="J24" s="39">
        <v>6</v>
      </c>
      <c r="K24" s="41"/>
      <c r="L24" s="22"/>
      <c r="M24" s="22"/>
      <c r="N24" s="22"/>
      <c r="O24" s="22"/>
      <c r="P24" s="22"/>
      <c r="Q24" s="22"/>
      <c r="R24" s="24"/>
    </row>
    <row r="25" spans="1:18" x14ac:dyDescent="0.3">
      <c r="A25" s="11">
        <f t="shared" ref="A25:A29" si="6">TIME(0,5,0)+H24</f>
        <v>0.49583333333333335</v>
      </c>
      <c r="B25" s="11">
        <f t="shared" ref="B25:B29" si="7">TIME(0,6,0)+A25</f>
        <v>0.5</v>
      </c>
      <c r="C25" s="11">
        <f t="shared" ref="C25:C29" si="8">B25+TIME(0,18,0)</f>
        <v>0.51249999999999996</v>
      </c>
      <c r="D25" s="11">
        <f t="shared" ref="D25:D29" si="9">A25+TIME(0,40,0)</f>
        <v>0.52361111111111114</v>
      </c>
      <c r="E25" s="4">
        <f t="shared" si="5"/>
        <v>0.52708333333333335</v>
      </c>
      <c r="F25" s="4">
        <f t="shared" ref="F25:F29" si="10">E25+TIME(0,16,0)</f>
        <v>0.53819444444444442</v>
      </c>
      <c r="G25" s="4">
        <f t="shared" ref="G25:G29" si="11">F25+TIME(0,18,0)</f>
        <v>0.55069444444444438</v>
      </c>
      <c r="H25" s="42">
        <f t="shared" ref="H25:H29" si="12">G25+TIME(0,6,0)</f>
        <v>0.55486111111111103</v>
      </c>
      <c r="I25" s="36">
        <v>1</v>
      </c>
      <c r="J25" s="39">
        <v>7</v>
      </c>
      <c r="K25" s="41"/>
      <c r="L25" s="22"/>
      <c r="M25" s="22"/>
      <c r="N25" s="22"/>
      <c r="O25" s="22"/>
      <c r="P25" s="22"/>
      <c r="Q25" s="22"/>
      <c r="R25" s="24"/>
    </row>
    <row r="26" spans="1:18" x14ac:dyDescent="0.3">
      <c r="A26" s="11">
        <f>TIME(13,49,0)</f>
        <v>0.5756944444444444</v>
      </c>
      <c r="B26" s="11">
        <f t="shared" si="7"/>
        <v>0.57986111111111105</v>
      </c>
      <c r="C26" s="11">
        <f t="shared" si="8"/>
        <v>0.59236111111111101</v>
      </c>
      <c r="D26" s="11">
        <f t="shared" si="9"/>
        <v>0.60347222222222219</v>
      </c>
      <c r="E26" s="4">
        <f t="shared" si="5"/>
        <v>0.6069444444444444</v>
      </c>
      <c r="F26" s="4">
        <f t="shared" si="10"/>
        <v>0.61805555555555547</v>
      </c>
      <c r="G26" s="4">
        <f t="shared" si="11"/>
        <v>0.63055555555555542</v>
      </c>
      <c r="H26" s="42">
        <f t="shared" si="12"/>
        <v>0.63472222222222208</v>
      </c>
      <c r="I26" s="36">
        <v>1</v>
      </c>
      <c r="J26" s="39">
        <v>9</v>
      </c>
      <c r="K26" s="41"/>
      <c r="L26" s="22"/>
      <c r="M26" s="22"/>
      <c r="N26" s="22"/>
      <c r="O26" s="22"/>
      <c r="P26" s="22"/>
      <c r="Q26" s="22"/>
      <c r="R26" s="24"/>
    </row>
    <row r="27" spans="1:18" x14ac:dyDescent="0.3">
      <c r="A27" s="11">
        <f t="shared" si="6"/>
        <v>0.63819444444444429</v>
      </c>
      <c r="B27" s="11">
        <f t="shared" si="7"/>
        <v>0.64236111111111094</v>
      </c>
      <c r="C27" s="11">
        <f t="shared" si="8"/>
        <v>0.65486111111111089</v>
      </c>
      <c r="D27" s="11">
        <f t="shared" si="9"/>
        <v>0.66597222222222208</v>
      </c>
      <c r="E27" s="4">
        <f t="shared" si="5"/>
        <v>0.66944444444444429</v>
      </c>
      <c r="F27" s="4">
        <f t="shared" si="10"/>
        <v>0.68055555555555536</v>
      </c>
      <c r="G27" s="4">
        <f t="shared" si="11"/>
        <v>0.69305555555555531</v>
      </c>
      <c r="H27" s="42">
        <f t="shared" si="12"/>
        <v>0.69722222222222197</v>
      </c>
      <c r="I27" s="36">
        <v>1</v>
      </c>
      <c r="J27" s="39">
        <v>10</v>
      </c>
      <c r="K27" s="41"/>
      <c r="L27" s="22"/>
      <c r="M27" s="22"/>
      <c r="N27" s="22"/>
      <c r="O27" s="22"/>
      <c r="P27" s="22"/>
      <c r="Q27" s="22"/>
      <c r="R27" s="24"/>
    </row>
    <row r="28" spans="1:18" x14ac:dyDescent="0.3">
      <c r="A28" s="11">
        <f t="shared" si="6"/>
        <v>0.70069444444444418</v>
      </c>
      <c r="B28" s="11">
        <f t="shared" si="7"/>
        <v>0.70486111111111083</v>
      </c>
      <c r="C28" s="11">
        <f t="shared" si="8"/>
        <v>0.71736111111111078</v>
      </c>
      <c r="D28" s="11">
        <f t="shared" si="9"/>
        <v>0.72847222222222197</v>
      </c>
      <c r="E28" s="4">
        <f t="shared" si="5"/>
        <v>0.73194444444444418</v>
      </c>
      <c r="F28" s="4">
        <f t="shared" si="10"/>
        <v>0.74305555555555525</v>
      </c>
      <c r="G28" s="4">
        <f t="shared" si="11"/>
        <v>0.7555555555555552</v>
      </c>
      <c r="H28" s="42">
        <f t="shared" si="12"/>
        <v>0.75972222222222185</v>
      </c>
      <c r="I28" s="36">
        <v>1</v>
      </c>
      <c r="J28" s="39">
        <v>11</v>
      </c>
      <c r="K28" s="41"/>
      <c r="L28" s="22"/>
      <c r="M28" s="22"/>
      <c r="N28" s="22"/>
      <c r="O28" s="22"/>
      <c r="P28" s="22"/>
      <c r="Q28" s="22"/>
      <c r="R28" s="24"/>
    </row>
    <row r="29" spans="1:18" x14ac:dyDescent="0.3">
      <c r="A29" s="11">
        <f t="shared" si="6"/>
        <v>0.76319444444444406</v>
      </c>
      <c r="B29" s="11">
        <f t="shared" si="7"/>
        <v>0.76736111111111072</v>
      </c>
      <c r="C29" s="11">
        <f t="shared" si="8"/>
        <v>0.77986111111111067</v>
      </c>
      <c r="D29" s="11">
        <f t="shared" si="9"/>
        <v>0.79097222222222185</v>
      </c>
      <c r="E29" s="4">
        <f t="shared" si="5"/>
        <v>0.79444444444444406</v>
      </c>
      <c r="F29" s="4">
        <f t="shared" si="10"/>
        <v>0.80555555555555514</v>
      </c>
      <c r="G29" s="4">
        <f t="shared" si="11"/>
        <v>0.81805555555555509</v>
      </c>
      <c r="H29" s="42">
        <f t="shared" si="12"/>
        <v>0.82222222222222174</v>
      </c>
      <c r="I29" s="36">
        <v>1</v>
      </c>
      <c r="J29" s="39">
        <v>13</v>
      </c>
      <c r="K29" s="41"/>
      <c r="L29" s="22"/>
      <c r="M29" s="22"/>
      <c r="N29" s="22"/>
      <c r="O29" s="22"/>
      <c r="P29" s="22"/>
      <c r="Q29" s="22"/>
      <c r="R29" s="24"/>
    </row>
    <row r="30" spans="1:18" ht="15.6" x14ac:dyDescent="0.3">
      <c r="A30" s="22"/>
      <c r="B30" s="22"/>
      <c r="C30" s="22"/>
      <c r="D30" s="22"/>
      <c r="E30" s="22"/>
      <c r="F30" s="22"/>
      <c r="G30" s="22"/>
      <c r="H30" s="22"/>
      <c r="I30" s="40">
        <f>SUM(I22:I29)</f>
        <v>8</v>
      </c>
      <c r="J30" s="22"/>
      <c r="K30" s="22"/>
      <c r="L30" s="22"/>
      <c r="M30" s="22"/>
      <c r="N30" s="22"/>
      <c r="O30" s="22"/>
      <c r="P30" s="22"/>
      <c r="Q30" s="22"/>
      <c r="R30" s="24"/>
    </row>
    <row r="31" spans="1:18" x14ac:dyDescent="0.3">
      <c r="A31" s="22"/>
      <c r="B31" s="22"/>
      <c r="C31" s="22"/>
      <c r="D31" s="22"/>
      <c r="E31" s="22"/>
      <c r="F31" s="22"/>
      <c r="G31" s="22"/>
      <c r="H31" s="22"/>
      <c r="I31" s="23"/>
      <c r="J31" s="22"/>
      <c r="K31" s="22"/>
      <c r="L31" s="22"/>
      <c r="M31" s="22"/>
      <c r="N31" s="22"/>
      <c r="O31" s="22"/>
      <c r="P31" s="22"/>
      <c r="Q31" s="22"/>
      <c r="R31" s="24"/>
    </row>
    <row r="32" spans="1:18" x14ac:dyDescent="0.3">
      <c r="A32" s="22"/>
      <c r="B32" s="22"/>
      <c r="C32" s="22"/>
      <c r="D32" s="22"/>
      <c r="E32" s="41"/>
      <c r="F32" s="41"/>
      <c r="G32" s="22"/>
      <c r="H32" s="22"/>
      <c r="I32" s="23"/>
      <c r="J32" s="22"/>
      <c r="K32" s="22"/>
      <c r="L32" s="22"/>
      <c r="M32" s="22"/>
      <c r="N32" s="22"/>
      <c r="O32" s="22"/>
      <c r="P32" s="22"/>
      <c r="Q32" s="22"/>
      <c r="R32" s="24"/>
    </row>
    <row r="33" spans="1:18" x14ac:dyDescent="0.3">
      <c r="A33" s="22"/>
      <c r="B33" s="22"/>
      <c r="C33" s="22"/>
      <c r="D33" s="22"/>
      <c r="E33" s="22"/>
      <c r="F33" s="22"/>
      <c r="G33" s="22"/>
      <c r="H33" s="22"/>
      <c r="I33" s="23"/>
      <c r="J33" s="22"/>
      <c r="K33" s="22"/>
      <c r="L33" s="22"/>
      <c r="M33" s="22"/>
      <c r="N33" s="22"/>
      <c r="O33" s="22"/>
      <c r="P33" s="22"/>
      <c r="Q33" s="22"/>
      <c r="R33" s="24"/>
    </row>
    <row r="34" spans="1:18" x14ac:dyDescent="0.3">
      <c r="A34" s="22"/>
      <c r="B34" s="22"/>
      <c r="C34" s="22"/>
      <c r="D34" s="22"/>
      <c r="E34" s="22"/>
      <c r="F34" s="22"/>
      <c r="G34" s="22"/>
      <c r="H34" s="22"/>
      <c r="I34" s="23"/>
      <c r="J34" s="22"/>
      <c r="K34" s="22"/>
      <c r="L34" s="22"/>
      <c r="M34" s="22"/>
      <c r="N34" s="22"/>
      <c r="O34" s="22"/>
      <c r="P34" s="22"/>
      <c r="Q34" s="22"/>
      <c r="R34" s="24"/>
    </row>
    <row r="35" spans="1:18" x14ac:dyDescent="0.3">
      <c r="A35" s="22"/>
      <c r="C35" s="22"/>
      <c r="E35" s="22"/>
    </row>
    <row r="36" spans="1:18" x14ac:dyDescent="0.3">
      <c r="A36" s="22"/>
      <c r="C36" s="22"/>
      <c r="E36" s="22"/>
    </row>
    <row r="37" spans="1:18" x14ac:dyDescent="0.3">
      <c r="A37" s="22"/>
      <c r="C37" s="22"/>
      <c r="E37" s="22"/>
    </row>
    <row r="38" spans="1:18" x14ac:dyDescent="0.3">
      <c r="A38" s="22"/>
      <c r="C38" s="22"/>
      <c r="E38" s="22"/>
    </row>
    <row r="39" spans="1:18" x14ac:dyDescent="0.3">
      <c r="A39" s="22"/>
      <c r="C39" s="22"/>
      <c r="E39" s="22"/>
    </row>
    <row r="40" spans="1:18" x14ac:dyDescent="0.3">
      <c r="A40" s="41"/>
    </row>
  </sheetData>
  <mergeCells count="2">
    <mergeCell ref="G1:K1"/>
    <mergeCell ref="L1:P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A6F8B-7372-43A5-9564-481AAC3B5F47}">
  <sheetPr codeName="Sheet4"/>
  <dimension ref="A1:Q70"/>
  <sheetViews>
    <sheetView topLeftCell="D45" zoomScale="87" zoomScaleNormal="102" workbookViewId="0">
      <selection activeCell="E60" sqref="E60:G60"/>
    </sheetView>
  </sheetViews>
  <sheetFormatPr defaultRowHeight="14.4" x14ac:dyDescent="0.3"/>
  <cols>
    <col min="1" max="20" width="13.77734375" customWidth="1"/>
    <col min="21" max="39" width="12.77734375" customWidth="1"/>
  </cols>
  <sheetData>
    <row r="1" spans="1:16" x14ac:dyDescent="0.3">
      <c r="A1" s="5" t="s">
        <v>5</v>
      </c>
      <c r="B1" s="6" t="s">
        <v>6</v>
      </c>
      <c r="C1" s="6" t="s">
        <v>10</v>
      </c>
      <c r="D1" s="6" t="s">
        <v>10</v>
      </c>
      <c r="E1" s="6" t="s">
        <v>10</v>
      </c>
      <c r="F1" s="6" t="s">
        <v>7</v>
      </c>
      <c r="G1" s="30" t="s">
        <v>8</v>
      </c>
      <c r="H1" s="30"/>
      <c r="I1" s="30"/>
      <c r="J1" s="30"/>
      <c r="K1" s="30"/>
      <c r="L1" s="31" t="s">
        <v>9</v>
      </c>
      <c r="M1" s="31"/>
      <c r="N1" s="31"/>
      <c r="O1" s="31"/>
      <c r="P1" s="31"/>
    </row>
    <row r="2" spans="1:16" x14ac:dyDescent="0.3">
      <c r="A2" s="7">
        <v>1</v>
      </c>
      <c r="B2" s="8">
        <f>TIME(4,50,0)</f>
        <v>0.20138888888888887</v>
      </c>
      <c r="C2" s="8">
        <f>TIME(5,5,0)</f>
        <v>0.21180555555555555</v>
      </c>
      <c r="D2" s="8">
        <f>TIME(5,25,0)</f>
        <v>0.22569444444444445</v>
      </c>
      <c r="E2" s="8">
        <f>TIME(5,25,0)</f>
        <v>0.22569444444444445</v>
      </c>
      <c r="F2" s="8">
        <f>TIME(5,38,0)</f>
        <v>0.23472222222222219</v>
      </c>
      <c r="G2" s="9">
        <f t="shared" ref="G2:L16" si="0">B2-TIME(0,15,0)</f>
        <v>0.19097222222222221</v>
      </c>
      <c r="H2" s="9">
        <f t="shared" si="0"/>
        <v>0.2013888888888889</v>
      </c>
      <c r="I2" s="9">
        <f t="shared" si="0"/>
        <v>0.21527777777777779</v>
      </c>
      <c r="J2" s="9">
        <f t="shared" si="0"/>
        <v>0.21527777777777779</v>
      </c>
      <c r="K2" s="27">
        <f>F2-TIME(0,15,0)</f>
        <v>0.22430555555555554</v>
      </c>
      <c r="L2" s="26">
        <f>G2-TIME(0,15,0)</f>
        <v>0.18055555555555555</v>
      </c>
      <c r="M2" s="10">
        <f t="shared" ref="M2:P16" si="1">H2-TIME(0,15,0)</f>
        <v>0.19097222222222224</v>
      </c>
      <c r="N2" s="10">
        <f t="shared" si="1"/>
        <v>0.20486111111111113</v>
      </c>
      <c r="O2" s="10">
        <f t="shared" si="1"/>
        <v>0.20486111111111113</v>
      </c>
      <c r="P2" s="10">
        <f t="shared" si="1"/>
        <v>0.21388888888888888</v>
      </c>
    </row>
    <row r="3" spans="1:16" x14ac:dyDescent="0.3">
      <c r="A3" s="7">
        <v>2</v>
      </c>
      <c r="B3" s="8">
        <f>TIME(6,0,0)</f>
        <v>0.25</v>
      </c>
      <c r="C3" s="8">
        <f>TIME(6,30,0)</f>
        <v>0.27083333333333331</v>
      </c>
      <c r="D3" s="8">
        <f>TIME(6,35,0)</f>
        <v>0.27430555555555552</v>
      </c>
      <c r="E3" s="8">
        <f>TIME(6,40,0)</f>
        <v>0.27777777777777779</v>
      </c>
      <c r="F3" s="8">
        <f>TIME(7,0,0)</f>
        <v>0.29166666666666669</v>
      </c>
      <c r="G3" s="9">
        <f t="shared" si="0"/>
        <v>0.23958333333333334</v>
      </c>
      <c r="H3" s="9">
        <f t="shared" si="0"/>
        <v>0.26041666666666663</v>
      </c>
      <c r="I3" s="9">
        <f t="shared" si="0"/>
        <v>0.26388888888888884</v>
      </c>
      <c r="J3" s="9">
        <f t="shared" si="0"/>
        <v>0.2673611111111111</v>
      </c>
      <c r="K3" s="27">
        <f t="shared" si="0"/>
        <v>0.28125</v>
      </c>
      <c r="L3" s="26">
        <f t="shared" si="0"/>
        <v>0.22916666666666669</v>
      </c>
      <c r="M3" s="10">
        <f t="shared" si="1"/>
        <v>0.24999999999999997</v>
      </c>
      <c r="N3" s="10">
        <f t="shared" si="1"/>
        <v>0.25347222222222215</v>
      </c>
      <c r="O3" s="10">
        <f t="shared" si="1"/>
        <v>0.25694444444444442</v>
      </c>
      <c r="P3" s="10">
        <f t="shared" si="1"/>
        <v>0.27083333333333331</v>
      </c>
    </row>
    <row r="4" spans="1:16" x14ac:dyDescent="0.3">
      <c r="A4" s="7">
        <v>3</v>
      </c>
      <c r="B4" s="8">
        <f>TIME(7,15,0)</f>
        <v>0.30208333333333331</v>
      </c>
      <c r="C4" s="8">
        <f>TIME(7,15,0)</f>
        <v>0.30208333333333331</v>
      </c>
      <c r="D4" s="8">
        <f>TIME(7,35,0)</f>
        <v>0.31597222222222221</v>
      </c>
      <c r="E4" s="8">
        <f>TIME(7,55,0)</f>
        <v>0.3298611111111111</v>
      </c>
      <c r="F4" s="8">
        <f>TIME(8,10,0)</f>
        <v>0.34027777777777773</v>
      </c>
      <c r="G4" s="9">
        <f t="shared" si="0"/>
        <v>0.29166666666666663</v>
      </c>
      <c r="H4" s="9">
        <f t="shared" si="0"/>
        <v>0.29166666666666663</v>
      </c>
      <c r="I4" s="9">
        <f t="shared" si="0"/>
        <v>0.30555555555555552</v>
      </c>
      <c r="J4" s="9">
        <f t="shared" si="0"/>
        <v>0.31944444444444442</v>
      </c>
      <c r="K4" s="27">
        <f t="shared" si="0"/>
        <v>0.32986111111111105</v>
      </c>
      <c r="L4" s="26">
        <f t="shared" si="0"/>
        <v>0.28124999999999994</v>
      </c>
      <c r="M4" s="10">
        <f t="shared" si="1"/>
        <v>0.28124999999999994</v>
      </c>
      <c r="N4" s="10">
        <f t="shared" si="1"/>
        <v>0.29513888888888884</v>
      </c>
      <c r="O4" s="10">
        <f t="shared" si="1"/>
        <v>0.30902777777777773</v>
      </c>
      <c r="P4" s="10">
        <f t="shared" si="1"/>
        <v>0.31944444444444436</v>
      </c>
    </row>
    <row r="5" spans="1:16" x14ac:dyDescent="0.3">
      <c r="A5" s="7">
        <v>4</v>
      </c>
      <c r="B5" s="8">
        <f>TIME(9,0,0)</f>
        <v>0.375</v>
      </c>
      <c r="C5" s="8">
        <f>TIME(9,20,0)</f>
        <v>0.3888888888888889</v>
      </c>
      <c r="D5" s="8">
        <f>TIME(9,30,0)</f>
        <v>0.39583333333333331</v>
      </c>
      <c r="E5" s="8">
        <f>TIME(9,55,0)</f>
        <v>0.41319444444444442</v>
      </c>
      <c r="F5" s="8">
        <f>TIME(10,5,0)</f>
        <v>0.4201388888888889</v>
      </c>
      <c r="G5" s="9">
        <f t="shared" si="0"/>
        <v>0.36458333333333331</v>
      </c>
      <c r="H5" s="9">
        <f t="shared" si="0"/>
        <v>0.37847222222222221</v>
      </c>
      <c r="I5" s="9">
        <f t="shared" si="0"/>
        <v>0.38541666666666663</v>
      </c>
      <c r="J5" s="9">
        <f t="shared" si="0"/>
        <v>0.40277777777777773</v>
      </c>
      <c r="K5" s="27">
        <f t="shared" si="0"/>
        <v>0.40972222222222221</v>
      </c>
      <c r="L5" s="26">
        <f t="shared" si="0"/>
        <v>0.35416666666666663</v>
      </c>
      <c r="M5" s="10">
        <f t="shared" si="1"/>
        <v>0.36805555555555552</v>
      </c>
      <c r="N5" s="10">
        <f t="shared" si="1"/>
        <v>0.37499999999999994</v>
      </c>
      <c r="O5" s="10">
        <f t="shared" si="1"/>
        <v>0.39236111111111105</v>
      </c>
      <c r="P5" s="10">
        <f t="shared" si="1"/>
        <v>0.39930555555555552</v>
      </c>
    </row>
    <row r="6" spans="1:16" x14ac:dyDescent="0.3">
      <c r="A6" s="7">
        <v>5</v>
      </c>
      <c r="B6" s="8">
        <f>TIME(10,15,0)</f>
        <v>0.42708333333333331</v>
      </c>
      <c r="C6" s="8">
        <f>TIME(10,25,0)</f>
        <v>0.43402777777777773</v>
      </c>
      <c r="D6" s="8">
        <f>TIME(10,35,0)</f>
        <v>0.44097222222222227</v>
      </c>
      <c r="E6" s="8">
        <f>TIME(11,5,0)</f>
        <v>0.46180555555555558</v>
      </c>
      <c r="F6" s="8">
        <f>TIME(11,15,0)</f>
        <v>0.46875</v>
      </c>
      <c r="G6" s="9">
        <f t="shared" si="0"/>
        <v>0.41666666666666663</v>
      </c>
      <c r="H6" s="9">
        <f t="shared" si="0"/>
        <v>0.42361111111111105</v>
      </c>
      <c r="I6" s="9">
        <f t="shared" si="0"/>
        <v>0.43055555555555558</v>
      </c>
      <c r="J6" s="9">
        <f t="shared" si="0"/>
        <v>0.4513888888888889</v>
      </c>
      <c r="K6" s="27">
        <f t="shared" si="0"/>
        <v>0.45833333333333331</v>
      </c>
      <c r="L6" s="26">
        <f t="shared" si="0"/>
        <v>0.40624999999999994</v>
      </c>
      <c r="M6" s="10">
        <f t="shared" si="1"/>
        <v>0.41319444444444436</v>
      </c>
      <c r="N6" s="10">
        <f t="shared" si="1"/>
        <v>0.4201388888888889</v>
      </c>
      <c r="O6" s="10">
        <f t="shared" si="1"/>
        <v>0.44097222222222221</v>
      </c>
      <c r="P6" s="10">
        <f t="shared" si="1"/>
        <v>0.44791666666666663</v>
      </c>
    </row>
    <row r="7" spans="1:16" x14ac:dyDescent="0.3">
      <c r="A7" s="7">
        <v>6</v>
      </c>
      <c r="B7" s="8">
        <f>TIME(11,20,0)</f>
        <v>0.47222222222222227</v>
      </c>
      <c r="C7" s="8">
        <f>TIME(11,30,0)</f>
        <v>0.47916666666666669</v>
      </c>
      <c r="D7" s="8">
        <f>TIME(11,45,0)</f>
        <v>0.48958333333333331</v>
      </c>
      <c r="E7" s="8">
        <f>TIME(11,55,0)</f>
        <v>0.49652777777777773</v>
      </c>
      <c r="F7" s="8">
        <f>TIME(12,5,5)</f>
        <v>0.50353009259259263</v>
      </c>
      <c r="G7" s="9">
        <f t="shared" si="0"/>
        <v>0.46180555555555558</v>
      </c>
      <c r="H7" s="9">
        <f t="shared" si="0"/>
        <v>0.46875</v>
      </c>
      <c r="I7" s="9">
        <f t="shared" si="0"/>
        <v>0.47916666666666663</v>
      </c>
      <c r="J7" s="9">
        <f t="shared" si="0"/>
        <v>0.48611111111111105</v>
      </c>
      <c r="K7" s="27">
        <f t="shared" si="0"/>
        <v>0.49311342592592594</v>
      </c>
      <c r="L7" s="26">
        <f t="shared" si="0"/>
        <v>0.4513888888888889</v>
      </c>
      <c r="M7" s="10">
        <f t="shared" si="1"/>
        <v>0.45833333333333331</v>
      </c>
      <c r="N7" s="10">
        <f t="shared" si="1"/>
        <v>0.46874999999999994</v>
      </c>
      <c r="O7" s="10">
        <f t="shared" si="1"/>
        <v>0.47569444444444436</v>
      </c>
      <c r="P7" s="10">
        <f t="shared" si="1"/>
        <v>0.48269675925925926</v>
      </c>
    </row>
    <row r="8" spans="1:16" x14ac:dyDescent="0.3">
      <c r="A8" s="7">
        <v>7</v>
      </c>
      <c r="B8" s="8">
        <f>TIME(12,30,0)</f>
        <v>0.52083333333333337</v>
      </c>
      <c r="C8" s="8">
        <f>TIME(12,35,0)</f>
        <v>0.52430555555555558</v>
      </c>
      <c r="D8" s="8">
        <f>TIME(13,0,0)</f>
        <v>0.54166666666666663</v>
      </c>
      <c r="E8" s="8">
        <f>TIME(13,10,0)</f>
        <v>0.54861111111111105</v>
      </c>
      <c r="F8" s="8">
        <f>TIME(13,35,0)</f>
        <v>0.56597222222222221</v>
      </c>
      <c r="G8" s="9">
        <f t="shared" si="0"/>
        <v>0.51041666666666674</v>
      </c>
      <c r="H8" s="9">
        <f t="shared" si="0"/>
        <v>0.51388888888888895</v>
      </c>
      <c r="I8" s="9">
        <f t="shared" si="0"/>
        <v>0.53125</v>
      </c>
      <c r="J8" s="9">
        <f t="shared" si="0"/>
        <v>0.53819444444444442</v>
      </c>
      <c r="K8" s="27">
        <f t="shared" si="0"/>
        <v>0.55555555555555558</v>
      </c>
      <c r="L8" s="26">
        <f t="shared" si="0"/>
        <v>0.50000000000000011</v>
      </c>
      <c r="M8" s="10">
        <f t="shared" si="1"/>
        <v>0.50347222222222232</v>
      </c>
      <c r="N8" s="10">
        <f t="shared" si="1"/>
        <v>0.52083333333333337</v>
      </c>
      <c r="O8" s="10">
        <f t="shared" si="1"/>
        <v>0.52777777777777779</v>
      </c>
      <c r="P8" s="10">
        <f t="shared" si="1"/>
        <v>0.54513888888888895</v>
      </c>
    </row>
    <row r="9" spans="1:16" x14ac:dyDescent="0.3">
      <c r="A9" s="7">
        <v>8</v>
      </c>
      <c r="B9" s="8">
        <f>TIME(13,50,0)</f>
        <v>0.57638888888888895</v>
      </c>
      <c r="C9" s="8">
        <f>TIME(13,55,0)</f>
        <v>0.57986111111111105</v>
      </c>
      <c r="D9" s="8">
        <f>TIME(14,5,0)</f>
        <v>0.58680555555555558</v>
      </c>
      <c r="E9" s="8">
        <f>TIME(14,20,0)</f>
        <v>0.59722222222222221</v>
      </c>
      <c r="F9" s="8">
        <f>TIME(14,45,0)</f>
        <v>0.61458333333333337</v>
      </c>
      <c r="G9" s="9">
        <f t="shared" si="0"/>
        <v>0.56597222222222232</v>
      </c>
      <c r="H9" s="9">
        <f t="shared" si="0"/>
        <v>0.56944444444444442</v>
      </c>
      <c r="I9" s="9">
        <f t="shared" si="0"/>
        <v>0.57638888888888895</v>
      </c>
      <c r="J9" s="9">
        <f t="shared" si="0"/>
        <v>0.58680555555555558</v>
      </c>
      <c r="K9" s="27">
        <f t="shared" si="0"/>
        <v>0.60416666666666674</v>
      </c>
      <c r="L9" s="26">
        <f t="shared" si="0"/>
        <v>0.55555555555555569</v>
      </c>
      <c r="M9" s="10">
        <f t="shared" si="1"/>
        <v>0.55902777777777779</v>
      </c>
      <c r="N9" s="10">
        <f t="shared" si="1"/>
        <v>0.56597222222222232</v>
      </c>
      <c r="O9" s="10">
        <f t="shared" si="1"/>
        <v>0.57638888888888895</v>
      </c>
      <c r="P9" s="10">
        <f t="shared" si="1"/>
        <v>0.59375000000000011</v>
      </c>
    </row>
    <row r="10" spans="1:16" x14ac:dyDescent="0.3">
      <c r="A10" s="7">
        <v>9</v>
      </c>
      <c r="B10" s="8">
        <f>TIME(15,10,0)</f>
        <v>0.63194444444444442</v>
      </c>
      <c r="C10" s="8">
        <f>TIME(15,30,0)</f>
        <v>0.64583333333333337</v>
      </c>
      <c r="D10" s="8">
        <f>TIME(15,50,0)</f>
        <v>0.65972222222222221</v>
      </c>
      <c r="E10" s="8">
        <f>TIME(16,10,0)</f>
        <v>0.67361111111111116</v>
      </c>
      <c r="F10" s="8">
        <f>TIME(16,20,0)</f>
        <v>0.68055555555555547</v>
      </c>
      <c r="G10" s="9">
        <f t="shared" si="0"/>
        <v>0.62152777777777779</v>
      </c>
      <c r="H10" s="9">
        <f t="shared" si="0"/>
        <v>0.63541666666666674</v>
      </c>
      <c r="I10" s="9">
        <f t="shared" si="0"/>
        <v>0.64930555555555558</v>
      </c>
      <c r="J10" s="9">
        <f t="shared" si="0"/>
        <v>0.66319444444444453</v>
      </c>
      <c r="K10" s="27">
        <f t="shared" si="0"/>
        <v>0.67013888888888884</v>
      </c>
      <c r="L10" s="26">
        <f t="shared" si="0"/>
        <v>0.61111111111111116</v>
      </c>
      <c r="M10" s="10">
        <f t="shared" si="1"/>
        <v>0.62500000000000011</v>
      </c>
      <c r="N10" s="10">
        <f t="shared" si="1"/>
        <v>0.63888888888888895</v>
      </c>
      <c r="O10" s="10">
        <f t="shared" si="1"/>
        <v>0.6527777777777779</v>
      </c>
      <c r="P10" s="10">
        <f t="shared" si="1"/>
        <v>0.65972222222222221</v>
      </c>
    </row>
    <row r="11" spans="1:16" x14ac:dyDescent="0.3">
      <c r="A11" s="7">
        <v>10</v>
      </c>
      <c r="B11" s="8">
        <f>TIME(16,30,0)</f>
        <v>0.6875</v>
      </c>
      <c r="C11" s="8">
        <f>TIME(16,45,0)</f>
        <v>0.69791666666666663</v>
      </c>
      <c r="D11" s="8">
        <f>TIME(16,55,0)</f>
        <v>0.70486111111111116</v>
      </c>
      <c r="E11" s="8">
        <f>TIME(17,0,0)</f>
        <v>0.70833333333333337</v>
      </c>
      <c r="F11" s="8">
        <f>TIME(17,30,0)</f>
        <v>0.72916666666666663</v>
      </c>
      <c r="G11" s="9">
        <f t="shared" si="0"/>
        <v>0.67708333333333337</v>
      </c>
      <c r="H11" s="9">
        <f t="shared" si="0"/>
        <v>0.6875</v>
      </c>
      <c r="I11" s="9">
        <f t="shared" si="0"/>
        <v>0.69444444444444453</v>
      </c>
      <c r="J11" s="9">
        <f t="shared" si="0"/>
        <v>0.69791666666666674</v>
      </c>
      <c r="K11" s="27">
        <f t="shared" si="0"/>
        <v>0.71875</v>
      </c>
      <c r="L11" s="26">
        <f t="shared" si="0"/>
        <v>0.66666666666666674</v>
      </c>
      <c r="M11" s="10">
        <f t="shared" si="1"/>
        <v>0.67708333333333337</v>
      </c>
      <c r="N11" s="10">
        <f t="shared" si="1"/>
        <v>0.6840277777777779</v>
      </c>
      <c r="O11" s="10">
        <f t="shared" si="1"/>
        <v>0.68750000000000011</v>
      </c>
      <c r="P11" s="10">
        <f t="shared" si="1"/>
        <v>0.70833333333333337</v>
      </c>
    </row>
    <row r="12" spans="1:16" x14ac:dyDescent="0.3">
      <c r="A12" s="7">
        <v>11</v>
      </c>
      <c r="B12" s="8">
        <f>TIME(17,45,0)</f>
        <v>0.73958333333333337</v>
      </c>
      <c r="C12" s="8">
        <f>TIME(18,0,0)</f>
        <v>0.75</v>
      </c>
      <c r="D12" s="8">
        <f>TIME(18,25,0)</f>
        <v>0.76736111111111116</v>
      </c>
      <c r="E12" s="8">
        <f>TIME(18,35,0)</f>
        <v>0.77430555555555547</v>
      </c>
      <c r="F12" s="8">
        <f>TIME(18,50,0)</f>
        <v>0.78472222222222221</v>
      </c>
      <c r="G12" s="9">
        <f t="shared" si="0"/>
        <v>0.72916666666666674</v>
      </c>
      <c r="H12" s="9">
        <f t="shared" si="0"/>
        <v>0.73958333333333337</v>
      </c>
      <c r="I12" s="9">
        <f t="shared" si="0"/>
        <v>0.75694444444444453</v>
      </c>
      <c r="J12" s="9">
        <f t="shared" si="0"/>
        <v>0.76388888888888884</v>
      </c>
      <c r="K12" s="27">
        <f t="shared" si="0"/>
        <v>0.77430555555555558</v>
      </c>
      <c r="L12" s="26">
        <f t="shared" si="0"/>
        <v>0.71875000000000011</v>
      </c>
      <c r="M12" s="10">
        <f t="shared" si="1"/>
        <v>0.72916666666666674</v>
      </c>
      <c r="N12" s="10">
        <f t="shared" si="1"/>
        <v>0.7465277777777779</v>
      </c>
      <c r="O12" s="10">
        <f t="shared" si="1"/>
        <v>0.75347222222222221</v>
      </c>
      <c r="P12" s="10">
        <f t="shared" si="1"/>
        <v>0.76388888888888895</v>
      </c>
    </row>
    <row r="13" spans="1:16" x14ac:dyDescent="0.3">
      <c r="A13" s="7">
        <v>12</v>
      </c>
      <c r="B13" s="8">
        <f>TIME(19,0,0)</f>
        <v>0.79166666666666663</v>
      </c>
      <c r="C13" s="8">
        <f>TIME(19,5,0)</f>
        <v>0.79513888888888884</v>
      </c>
      <c r="D13" s="8">
        <f>TIME(19,20,0)</f>
        <v>0.80555555555555547</v>
      </c>
      <c r="E13" s="8">
        <f>TIME(19,30,0)</f>
        <v>0.8125</v>
      </c>
      <c r="F13" s="8">
        <f>TIME(19,55,0)</f>
        <v>0.82986111111111116</v>
      </c>
      <c r="G13" s="9">
        <f t="shared" si="0"/>
        <v>0.78125</v>
      </c>
      <c r="H13" s="9">
        <f t="shared" si="0"/>
        <v>0.78472222222222221</v>
      </c>
      <c r="I13" s="9">
        <f t="shared" si="0"/>
        <v>0.79513888888888884</v>
      </c>
      <c r="J13" s="9">
        <f t="shared" si="0"/>
        <v>0.80208333333333337</v>
      </c>
      <c r="K13" s="27">
        <f t="shared" si="0"/>
        <v>0.81944444444444453</v>
      </c>
      <c r="L13" s="26">
        <f t="shared" si="0"/>
        <v>0.77083333333333337</v>
      </c>
      <c r="M13" s="10">
        <f t="shared" si="1"/>
        <v>0.77430555555555558</v>
      </c>
      <c r="N13" s="10">
        <f t="shared" si="1"/>
        <v>0.78472222222222221</v>
      </c>
      <c r="O13" s="10">
        <f t="shared" si="1"/>
        <v>0.79166666666666674</v>
      </c>
      <c r="P13" s="10">
        <f t="shared" si="1"/>
        <v>0.8090277777777779</v>
      </c>
    </row>
    <row r="14" spans="1:16" x14ac:dyDescent="0.3">
      <c r="A14" s="7">
        <v>13</v>
      </c>
      <c r="B14" s="8">
        <f>TIME(20,5,0)</f>
        <v>0.83680555555555547</v>
      </c>
      <c r="C14" s="8">
        <f>TIME(20,20,0)</f>
        <v>0.84722222222222221</v>
      </c>
      <c r="D14" s="8">
        <f>TIME(20,40,0)</f>
        <v>0.86111111111111116</v>
      </c>
      <c r="E14" s="8">
        <f>TIME(20,55,0)</f>
        <v>0.87152777777777779</v>
      </c>
      <c r="F14" s="8">
        <f>TIME(21,5,0)</f>
        <v>0.87847222222222221</v>
      </c>
      <c r="G14" s="9">
        <f t="shared" si="0"/>
        <v>0.82638888888888884</v>
      </c>
      <c r="H14" s="9">
        <f t="shared" si="0"/>
        <v>0.83680555555555558</v>
      </c>
      <c r="I14" s="9">
        <f t="shared" si="0"/>
        <v>0.85069444444444453</v>
      </c>
      <c r="J14" s="9">
        <f t="shared" si="0"/>
        <v>0.86111111111111116</v>
      </c>
      <c r="K14" s="27">
        <f t="shared" si="0"/>
        <v>0.86805555555555558</v>
      </c>
      <c r="L14" s="26">
        <f t="shared" si="0"/>
        <v>0.81597222222222221</v>
      </c>
      <c r="M14" s="10">
        <f t="shared" si="1"/>
        <v>0.82638888888888895</v>
      </c>
      <c r="N14" s="10">
        <f t="shared" si="1"/>
        <v>0.8402777777777779</v>
      </c>
      <c r="O14" s="10">
        <f t="shared" si="1"/>
        <v>0.85069444444444453</v>
      </c>
      <c r="P14" s="10">
        <f t="shared" si="1"/>
        <v>0.85763888888888895</v>
      </c>
    </row>
    <row r="15" spans="1:16" x14ac:dyDescent="0.3">
      <c r="A15" s="7">
        <v>14</v>
      </c>
      <c r="B15" s="8">
        <f>TIME(21,40,0)</f>
        <v>0.90277777777777779</v>
      </c>
      <c r="C15" s="8">
        <f>TIME(22,5,0)</f>
        <v>0.92013888888888884</v>
      </c>
      <c r="D15" s="8">
        <f>TIME(22,25,0)</f>
        <v>0.93402777777777779</v>
      </c>
      <c r="E15" s="8">
        <f>TIME(22,25,0)</f>
        <v>0.93402777777777779</v>
      </c>
      <c r="F15" s="8">
        <f>TIME(22,35,0)</f>
        <v>0.94097222222222221</v>
      </c>
      <c r="G15" s="9">
        <f t="shared" si="0"/>
        <v>0.89236111111111116</v>
      </c>
      <c r="H15" s="9">
        <f t="shared" si="0"/>
        <v>0.90972222222222221</v>
      </c>
      <c r="I15" s="9">
        <f t="shared" si="0"/>
        <v>0.92361111111111116</v>
      </c>
      <c r="J15" s="9">
        <f t="shared" si="0"/>
        <v>0.92361111111111116</v>
      </c>
      <c r="K15" s="27">
        <f t="shared" si="0"/>
        <v>0.93055555555555558</v>
      </c>
      <c r="L15" s="26">
        <f t="shared" si="0"/>
        <v>0.88194444444444453</v>
      </c>
      <c r="M15" s="10">
        <f t="shared" si="1"/>
        <v>0.89930555555555558</v>
      </c>
      <c r="N15" s="10">
        <f t="shared" si="1"/>
        <v>0.91319444444444453</v>
      </c>
      <c r="O15" s="10">
        <f t="shared" si="1"/>
        <v>0.91319444444444453</v>
      </c>
      <c r="P15" s="10">
        <f t="shared" si="1"/>
        <v>0.92013888888888895</v>
      </c>
    </row>
    <row r="16" spans="1:16" x14ac:dyDescent="0.3">
      <c r="A16" s="7">
        <v>15</v>
      </c>
      <c r="B16" s="8">
        <f>TIME(22,55,0)</f>
        <v>0.95486111111111116</v>
      </c>
      <c r="C16" s="8">
        <f>TIME(23,10,0)</f>
        <v>0.96527777777777779</v>
      </c>
      <c r="D16" s="8">
        <f>TIME(23,10,0)</f>
        <v>0.96527777777777779</v>
      </c>
      <c r="E16" s="8">
        <f>TIME(23,10,0)</f>
        <v>0.96527777777777779</v>
      </c>
      <c r="F16" s="8">
        <f>TIME(23,25,0)</f>
        <v>0.97569444444444453</v>
      </c>
      <c r="G16" s="9">
        <f t="shared" si="0"/>
        <v>0.94444444444444453</v>
      </c>
      <c r="H16" s="9">
        <f t="shared" si="0"/>
        <v>0.95486111111111116</v>
      </c>
      <c r="I16" s="9">
        <f t="shared" si="0"/>
        <v>0.95486111111111116</v>
      </c>
      <c r="J16" s="9">
        <f t="shared" si="0"/>
        <v>0.95486111111111116</v>
      </c>
      <c r="K16" s="27">
        <f t="shared" si="0"/>
        <v>0.9652777777777779</v>
      </c>
      <c r="L16" s="26">
        <f t="shared" si="0"/>
        <v>0.9340277777777779</v>
      </c>
      <c r="M16" s="10">
        <f t="shared" si="1"/>
        <v>0.94444444444444453</v>
      </c>
      <c r="N16" s="10">
        <f t="shared" si="1"/>
        <v>0.94444444444444453</v>
      </c>
      <c r="O16" s="10">
        <f t="shared" si="1"/>
        <v>0.94444444444444453</v>
      </c>
      <c r="P16" s="10">
        <f t="shared" si="1"/>
        <v>0.95486111111111127</v>
      </c>
    </row>
    <row r="18" spans="1:17" ht="15" thickBot="1" x14ac:dyDescent="0.35"/>
    <row r="19" spans="1:17" ht="15" thickBot="1" x14ac:dyDescent="0.35">
      <c r="P19" s="121" t="s">
        <v>51</v>
      </c>
      <c r="Q19" s="122">
        <f>TIME(0,4,0)</f>
        <v>2.7777777777777779E-3</v>
      </c>
    </row>
    <row r="20" spans="1:17" x14ac:dyDescent="0.3">
      <c r="E20" s="59" t="s">
        <v>18</v>
      </c>
    </row>
    <row r="21" spans="1:17" x14ac:dyDescent="0.3">
      <c r="A21" s="45" t="s">
        <v>19</v>
      </c>
      <c r="B21" s="45" t="s">
        <v>15</v>
      </c>
      <c r="C21" s="45" t="s">
        <v>16</v>
      </c>
      <c r="D21" s="45" t="s">
        <v>17</v>
      </c>
      <c r="E21" s="46" t="s">
        <v>17</v>
      </c>
      <c r="F21" s="46" t="s">
        <v>16</v>
      </c>
      <c r="G21" s="46" t="s">
        <v>15</v>
      </c>
      <c r="H21" s="46" t="s">
        <v>19</v>
      </c>
      <c r="I21" s="47" t="s">
        <v>12</v>
      </c>
      <c r="J21" s="47" t="s">
        <v>20</v>
      </c>
      <c r="L21" s="64" t="s">
        <v>26</v>
      </c>
      <c r="M21" s="64"/>
      <c r="N21" s="64"/>
    </row>
    <row r="22" spans="1:17" x14ac:dyDescent="0.3">
      <c r="A22" s="48">
        <f>TIME(6,9,0)</f>
        <v>0.25625000000000003</v>
      </c>
      <c r="B22" s="48">
        <f t="shared" ref="B22:B30" si="2">A22+TIME(0,12,0)</f>
        <v>0.26458333333333339</v>
      </c>
      <c r="C22" s="48">
        <f t="shared" ref="C22:C30" si="3">B22+TIME(0,8,0)</f>
        <v>0.27013888888888893</v>
      </c>
      <c r="D22" s="48">
        <f t="shared" ref="D22:D30" si="4">C22+TIME(0,20,0)</f>
        <v>0.28402777777777782</v>
      </c>
      <c r="E22" s="49">
        <f t="shared" ref="E22:E30" si="5">D22+TIME(0,5,0)</f>
        <v>0.28750000000000003</v>
      </c>
      <c r="F22" s="49">
        <f t="shared" ref="F22:F30" si="6">E22+TIME(0,20,0)</f>
        <v>0.30138888888888893</v>
      </c>
      <c r="G22" s="49">
        <f t="shared" ref="G22:G30" si="7">F22+TIME(0,8,0)</f>
        <v>0.30694444444444446</v>
      </c>
      <c r="H22" s="50">
        <f t="shared" ref="H22:H30" si="8">G22+TIME(0,12,0)</f>
        <v>0.31527777777777782</v>
      </c>
      <c r="I22" s="47">
        <v>1</v>
      </c>
      <c r="J22" s="47">
        <v>3</v>
      </c>
      <c r="L22" s="113">
        <v>0.31250000000000006</v>
      </c>
      <c r="M22" s="37">
        <v>1</v>
      </c>
      <c r="N22" s="37">
        <v>3</v>
      </c>
    </row>
    <row r="23" spans="1:17" x14ac:dyDescent="0.3">
      <c r="A23" s="48">
        <f t="shared" ref="A23:A30" si="9">A22+TIME(0,90,0)</f>
        <v>0.31875000000000003</v>
      </c>
      <c r="B23" s="48">
        <f t="shared" si="2"/>
        <v>0.32708333333333339</v>
      </c>
      <c r="C23" s="48">
        <f t="shared" si="3"/>
        <v>0.33263888888888893</v>
      </c>
      <c r="D23" s="48">
        <f t="shared" si="4"/>
        <v>0.34652777777777782</v>
      </c>
      <c r="E23" s="49">
        <f t="shared" si="5"/>
        <v>0.35000000000000003</v>
      </c>
      <c r="F23" s="49">
        <f t="shared" si="6"/>
        <v>0.36388888888888893</v>
      </c>
      <c r="G23" s="49">
        <f t="shared" si="7"/>
        <v>0.36944444444444446</v>
      </c>
      <c r="H23" s="50">
        <f t="shared" si="8"/>
        <v>0.37777777777777782</v>
      </c>
      <c r="I23" s="47">
        <v>1</v>
      </c>
      <c r="J23" s="47">
        <v>4</v>
      </c>
      <c r="L23" s="113">
        <v>0.37500000000000006</v>
      </c>
      <c r="M23" s="37">
        <v>1</v>
      </c>
      <c r="N23" s="37">
        <v>4</v>
      </c>
    </row>
    <row r="24" spans="1:17" x14ac:dyDescent="0.3">
      <c r="A24" s="48">
        <f t="shared" si="9"/>
        <v>0.38125000000000003</v>
      </c>
      <c r="B24" s="48">
        <f t="shared" si="2"/>
        <v>0.38958333333333339</v>
      </c>
      <c r="C24" s="48">
        <f t="shared" si="3"/>
        <v>0.39513888888888893</v>
      </c>
      <c r="D24" s="48">
        <f t="shared" si="4"/>
        <v>0.40902777777777782</v>
      </c>
      <c r="E24" s="49">
        <f t="shared" si="5"/>
        <v>0.41250000000000003</v>
      </c>
      <c r="F24" s="49">
        <f t="shared" si="6"/>
        <v>0.42638888888888893</v>
      </c>
      <c r="G24" s="49">
        <f t="shared" si="7"/>
        <v>0.43194444444444446</v>
      </c>
      <c r="H24" s="50">
        <f t="shared" si="8"/>
        <v>0.44027777777777782</v>
      </c>
      <c r="I24" s="47">
        <v>1</v>
      </c>
      <c r="J24" s="47">
        <v>5</v>
      </c>
      <c r="L24" s="113">
        <v>0.43750000000000006</v>
      </c>
      <c r="M24" s="37">
        <v>1</v>
      </c>
      <c r="N24" s="37">
        <v>5</v>
      </c>
    </row>
    <row r="25" spans="1:17" x14ac:dyDescent="0.3">
      <c r="A25" s="48">
        <f t="shared" si="9"/>
        <v>0.44375000000000003</v>
      </c>
      <c r="B25" s="48">
        <f t="shared" si="2"/>
        <v>0.45208333333333339</v>
      </c>
      <c r="C25" s="48">
        <f t="shared" si="3"/>
        <v>0.45763888888888893</v>
      </c>
      <c r="D25" s="48">
        <f t="shared" si="4"/>
        <v>0.47152777777777782</v>
      </c>
      <c r="E25" s="49">
        <f t="shared" si="5"/>
        <v>0.47500000000000003</v>
      </c>
      <c r="F25" s="49">
        <f t="shared" si="6"/>
        <v>0.48888888888888893</v>
      </c>
      <c r="G25" s="49">
        <f t="shared" si="7"/>
        <v>0.49444444444444446</v>
      </c>
      <c r="H25" s="50">
        <f t="shared" si="8"/>
        <v>0.50277777777777777</v>
      </c>
      <c r="I25" s="47">
        <v>1</v>
      </c>
      <c r="J25" s="47">
        <v>7</v>
      </c>
      <c r="L25" s="113">
        <v>0.5</v>
      </c>
      <c r="M25" s="37">
        <v>0</v>
      </c>
      <c r="N25" s="37" t="s">
        <v>14</v>
      </c>
    </row>
    <row r="26" spans="1:17" x14ac:dyDescent="0.3">
      <c r="A26" s="48">
        <f t="shared" si="9"/>
        <v>0.50625000000000009</v>
      </c>
      <c r="B26" s="48">
        <f t="shared" si="2"/>
        <v>0.51458333333333339</v>
      </c>
      <c r="C26" s="48">
        <f t="shared" si="3"/>
        <v>0.52013888888888893</v>
      </c>
      <c r="D26" s="48">
        <f t="shared" si="4"/>
        <v>0.53402777777777777</v>
      </c>
      <c r="E26" s="49">
        <f t="shared" si="5"/>
        <v>0.53749999999999998</v>
      </c>
      <c r="F26" s="49">
        <f t="shared" si="6"/>
        <v>0.55138888888888882</v>
      </c>
      <c r="G26" s="49">
        <f t="shared" si="7"/>
        <v>0.55694444444444435</v>
      </c>
      <c r="H26" s="50">
        <f t="shared" si="8"/>
        <v>0.56527777777777766</v>
      </c>
      <c r="I26" s="47">
        <v>1</v>
      </c>
      <c r="J26" s="47">
        <v>8</v>
      </c>
      <c r="L26" s="113">
        <v>0.56249999999999989</v>
      </c>
      <c r="M26" s="37">
        <v>1</v>
      </c>
      <c r="N26" s="37">
        <v>8</v>
      </c>
    </row>
    <row r="27" spans="1:17" x14ac:dyDescent="0.3">
      <c r="A27" s="48">
        <f t="shared" si="9"/>
        <v>0.56875000000000009</v>
      </c>
      <c r="B27" s="48">
        <f t="shared" si="2"/>
        <v>0.57708333333333339</v>
      </c>
      <c r="C27" s="48">
        <f t="shared" si="3"/>
        <v>0.58263888888888893</v>
      </c>
      <c r="D27" s="48">
        <f t="shared" si="4"/>
        <v>0.59652777777777777</v>
      </c>
      <c r="E27" s="49">
        <f t="shared" si="5"/>
        <v>0.6</v>
      </c>
      <c r="F27" s="49">
        <f t="shared" si="6"/>
        <v>0.61388888888888882</v>
      </c>
      <c r="G27" s="49">
        <f t="shared" si="7"/>
        <v>0.61944444444444435</v>
      </c>
      <c r="H27" s="50">
        <f t="shared" si="8"/>
        <v>0.62777777777777766</v>
      </c>
      <c r="I27" s="47">
        <v>1</v>
      </c>
      <c r="J27" s="47">
        <v>9</v>
      </c>
      <c r="L27" s="113">
        <v>0.62499999999999989</v>
      </c>
      <c r="M27" s="37">
        <v>1</v>
      </c>
      <c r="N27" s="37">
        <v>9</v>
      </c>
    </row>
    <row r="28" spans="1:17" x14ac:dyDescent="0.3">
      <c r="A28" s="48">
        <f t="shared" si="9"/>
        <v>0.63125000000000009</v>
      </c>
      <c r="B28" s="48">
        <f t="shared" si="2"/>
        <v>0.63958333333333339</v>
      </c>
      <c r="C28" s="48">
        <f t="shared" si="3"/>
        <v>0.64513888888888893</v>
      </c>
      <c r="D28" s="48">
        <f t="shared" si="4"/>
        <v>0.65902777777777777</v>
      </c>
      <c r="E28" s="49">
        <f t="shared" si="5"/>
        <v>0.66249999999999998</v>
      </c>
      <c r="F28" s="49">
        <f t="shared" si="6"/>
        <v>0.67638888888888882</v>
      </c>
      <c r="G28" s="49">
        <f t="shared" si="7"/>
        <v>0.68194444444444435</v>
      </c>
      <c r="H28" s="50">
        <f t="shared" si="8"/>
        <v>0.69027777777777766</v>
      </c>
      <c r="I28" s="47">
        <v>1</v>
      </c>
      <c r="J28" s="47">
        <v>10</v>
      </c>
      <c r="L28" s="113">
        <v>0.68749999999999989</v>
      </c>
      <c r="M28" s="37">
        <v>1</v>
      </c>
      <c r="N28" s="37">
        <v>10</v>
      </c>
    </row>
    <row r="29" spans="1:17" x14ac:dyDescent="0.3">
      <c r="A29" s="48">
        <f t="shared" si="9"/>
        <v>0.69375000000000009</v>
      </c>
      <c r="B29" s="48">
        <f t="shared" si="2"/>
        <v>0.70208333333333339</v>
      </c>
      <c r="C29" s="48">
        <f t="shared" si="3"/>
        <v>0.70763888888888893</v>
      </c>
      <c r="D29" s="48">
        <f t="shared" si="4"/>
        <v>0.72152777777777777</v>
      </c>
      <c r="E29" s="49">
        <f t="shared" si="5"/>
        <v>0.72499999999999998</v>
      </c>
      <c r="F29" s="49">
        <f t="shared" si="6"/>
        <v>0.73888888888888882</v>
      </c>
      <c r="G29" s="49">
        <f t="shared" si="7"/>
        <v>0.74444444444444435</v>
      </c>
      <c r="H29" s="50">
        <f t="shared" si="8"/>
        <v>0.75277777777777766</v>
      </c>
      <c r="I29" s="47">
        <v>1</v>
      </c>
      <c r="J29" s="47">
        <v>11</v>
      </c>
      <c r="L29" s="113">
        <v>0.74999999999999989</v>
      </c>
      <c r="M29" s="37">
        <v>1</v>
      </c>
      <c r="N29" s="37">
        <v>11</v>
      </c>
    </row>
    <row r="30" spans="1:17" x14ac:dyDescent="0.3">
      <c r="A30" s="48">
        <f t="shared" si="9"/>
        <v>0.75625000000000009</v>
      </c>
      <c r="B30" s="48">
        <f t="shared" si="2"/>
        <v>0.76458333333333339</v>
      </c>
      <c r="C30" s="48">
        <f t="shared" si="3"/>
        <v>0.77013888888888893</v>
      </c>
      <c r="D30" s="48">
        <f t="shared" si="4"/>
        <v>0.78402777777777777</v>
      </c>
      <c r="E30" s="49">
        <f t="shared" si="5"/>
        <v>0.78749999999999998</v>
      </c>
      <c r="F30" s="49">
        <f t="shared" si="6"/>
        <v>0.80138888888888882</v>
      </c>
      <c r="G30" s="49">
        <f t="shared" si="7"/>
        <v>0.80694444444444435</v>
      </c>
      <c r="H30" s="50">
        <f t="shared" si="8"/>
        <v>0.81527777777777766</v>
      </c>
      <c r="I30" s="47">
        <v>1</v>
      </c>
      <c r="J30" s="47">
        <v>12</v>
      </c>
      <c r="L30" s="113">
        <v>0.81249999999999989</v>
      </c>
      <c r="M30" s="37">
        <v>1</v>
      </c>
      <c r="N30" s="37">
        <v>12</v>
      </c>
    </row>
    <row r="31" spans="1:17" x14ac:dyDescent="0.3">
      <c r="A31" s="51"/>
      <c r="B31" s="51"/>
      <c r="C31" s="51"/>
      <c r="D31" s="51"/>
      <c r="E31" s="51"/>
      <c r="F31" s="51"/>
      <c r="G31" s="51"/>
      <c r="H31" s="51"/>
      <c r="I31" s="53">
        <f>SUM(I22:I30)</f>
        <v>9</v>
      </c>
      <c r="J31" s="51"/>
    </row>
    <row r="33" spans="1:14" x14ac:dyDescent="0.3">
      <c r="E33" s="60" t="s">
        <v>24</v>
      </c>
    </row>
    <row r="34" spans="1:14" x14ac:dyDescent="0.3">
      <c r="A34" s="56" t="s">
        <v>19</v>
      </c>
      <c r="B34" s="56" t="s">
        <v>15</v>
      </c>
      <c r="C34" s="56" t="s">
        <v>16</v>
      </c>
      <c r="D34" s="56" t="s">
        <v>17</v>
      </c>
      <c r="E34" s="57" t="s">
        <v>17</v>
      </c>
      <c r="F34" s="57" t="s">
        <v>16</v>
      </c>
      <c r="G34" s="57" t="s">
        <v>15</v>
      </c>
      <c r="H34" s="57" t="s">
        <v>19</v>
      </c>
      <c r="I34" s="37" t="s">
        <v>12</v>
      </c>
      <c r="J34" s="37" t="s">
        <v>13</v>
      </c>
      <c r="L34" s="64" t="s">
        <v>26</v>
      </c>
      <c r="M34" s="64"/>
      <c r="N34" s="64"/>
    </row>
    <row r="35" spans="1:14" x14ac:dyDescent="0.3">
      <c r="A35" s="44">
        <f>A23+TIME(0,30,0)</f>
        <v>0.33958333333333335</v>
      </c>
      <c r="B35" s="44">
        <f t="shared" ref="B35:B43" si="10">A35+TIME(0,12,0)</f>
        <v>0.34791666666666671</v>
      </c>
      <c r="C35" s="44">
        <f t="shared" ref="C35:C43" si="11">B35+TIME(0,8,0)</f>
        <v>0.35347222222222224</v>
      </c>
      <c r="D35" s="44">
        <f t="shared" ref="D35:D43" si="12">C35+TIME(0,20,9)</f>
        <v>0.36746527777777782</v>
      </c>
      <c r="E35" s="54">
        <f t="shared" ref="E35:E43" si="13">D35+TIME(0,5,0)</f>
        <v>0.37093750000000003</v>
      </c>
      <c r="F35" s="54">
        <f t="shared" ref="F35:F43" si="14">E35+TIME(0,20,0)</f>
        <v>0.38482638888888893</v>
      </c>
      <c r="G35" s="54">
        <f t="shared" ref="G35:G43" si="15">F35+TIME(0,8,0)</f>
        <v>0.39038194444444446</v>
      </c>
      <c r="H35" s="55">
        <f t="shared" ref="H35:H43" si="16">G35+TIME(0,12,0)</f>
        <v>0.39871527777777782</v>
      </c>
      <c r="I35" s="37">
        <v>1</v>
      </c>
      <c r="J35" s="37">
        <v>4</v>
      </c>
      <c r="L35" s="113">
        <v>0.39593750000000005</v>
      </c>
      <c r="M35" s="37">
        <v>1</v>
      </c>
      <c r="N35" s="37">
        <v>4</v>
      </c>
    </row>
    <row r="36" spans="1:14" x14ac:dyDescent="0.3">
      <c r="A36" s="44">
        <f t="shared" ref="A36:A43" si="17">A35+TIME(0,90,0)</f>
        <v>0.40208333333333335</v>
      </c>
      <c r="B36" s="44">
        <f t="shared" si="10"/>
        <v>0.41041666666666671</v>
      </c>
      <c r="C36" s="44">
        <f t="shared" si="11"/>
        <v>0.41597222222222224</v>
      </c>
      <c r="D36" s="44">
        <f t="shared" si="12"/>
        <v>0.42996527777777782</v>
      </c>
      <c r="E36" s="54">
        <f t="shared" si="13"/>
        <v>0.43343750000000003</v>
      </c>
      <c r="F36" s="54">
        <f t="shared" si="14"/>
        <v>0.44732638888888893</v>
      </c>
      <c r="G36" s="54">
        <f t="shared" si="15"/>
        <v>0.45288194444444446</v>
      </c>
      <c r="H36" s="55">
        <f t="shared" si="16"/>
        <v>0.46121527777777782</v>
      </c>
      <c r="I36" s="37">
        <v>1</v>
      </c>
      <c r="J36" s="37">
        <v>6</v>
      </c>
      <c r="L36" s="113">
        <v>0.45843750000000005</v>
      </c>
      <c r="M36" s="37">
        <v>1</v>
      </c>
      <c r="N36" s="37">
        <v>6</v>
      </c>
    </row>
    <row r="37" spans="1:14" x14ac:dyDescent="0.3">
      <c r="A37" s="44">
        <f t="shared" si="17"/>
        <v>0.46458333333333335</v>
      </c>
      <c r="B37" s="44">
        <f t="shared" si="10"/>
        <v>0.47291666666666671</v>
      </c>
      <c r="C37" s="44">
        <f t="shared" si="11"/>
        <v>0.47847222222222224</v>
      </c>
      <c r="D37" s="44">
        <f t="shared" si="12"/>
        <v>0.49246527777777782</v>
      </c>
      <c r="E37" s="54">
        <f t="shared" si="13"/>
        <v>0.49593750000000003</v>
      </c>
      <c r="F37" s="54">
        <f t="shared" si="14"/>
        <v>0.50982638888888887</v>
      </c>
      <c r="G37" s="54">
        <f t="shared" si="15"/>
        <v>0.51538194444444441</v>
      </c>
      <c r="H37" s="55">
        <f t="shared" si="16"/>
        <v>0.52371527777777771</v>
      </c>
      <c r="I37" s="37">
        <v>1</v>
      </c>
      <c r="J37" s="37">
        <v>7</v>
      </c>
      <c r="L37" s="113">
        <v>0.52093749999999994</v>
      </c>
      <c r="M37" s="37">
        <v>1</v>
      </c>
      <c r="N37" s="37">
        <v>7</v>
      </c>
    </row>
    <row r="38" spans="1:14" x14ac:dyDescent="0.3">
      <c r="A38" s="44">
        <f t="shared" si="17"/>
        <v>0.52708333333333335</v>
      </c>
      <c r="B38" s="44">
        <f t="shared" si="10"/>
        <v>0.53541666666666665</v>
      </c>
      <c r="C38" s="44">
        <f t="shared" si="11"/>
        <v>0.54097222222222219</v>
      </c>
      <c r="D38" s="44">
        <f t="shared" si="12"/>
        <v>0.55496527777777771</v>
      </c>
      <c r="E38" s="54">
        <f t="shared" si="13"/>
        <v>0.55843749999999992</v>
      </c>
      <c r="F38" s="54">
        <f t="shared" si="14"/>
        <v>0.57232638888888876</v>
      </c>
      <c r="G38" s="54">
        <f t="shared" si="15"/>
        <v>0.5778819444444443</v>
      </c>
      <c r="H38" s="55">
        <f t="shared" si="16"/>
        <v>0.5862152777777776</v>
      </c>
      <c r="I38" s="37">
        <v>1</v>
      </c>
      <c r="J38" s="37">
        <v>8</v>
      </c>
      <c r="L38" s="113">
        <v>0.58343749999999983</v>
      </c>
      <c r="M38" s="37">
        <v>1</v>
      </c>
      <c r="N38" s="37">
        <v>8</v>
      </c>
    </row>
    <row r="39" spans="1:14" x14ac:dyDescent="0.3">
      <c r="A39" s="44">
        <f t="shared" si="17"/>
        <v>0.58958333333333335</v>
      </c>
      <c r="B39" s="44">
        <f t="shared" si="10"/>
        <v>0.59791666666666665</v>
      </c>
      <c r="C39" s="44">
        <f t="shared" si="11"/>
        <v>0.60347222222222219</v>
      </c>
      <c r="D39" s="44">
        <f t="shared" si="12"/>
        <v>0.61746527777777771</v>
      </c>
      <c r="E39" s="54">
        <f t="shared" si="13"/>
        <v>0.62093749999999992</v>
      </c>
      <c r="F39" s="54">
        <f t="shared" si="14"/>
        <v>0.63482638888888876</v>
      </c>
      <c r="G39" s="54">
        <f t="shared" si="15"/>
        <v>0.6403819444444443</v>
      </c>
      <c r="H39" s="55">
        <f t="shared" si="16"/>
        <v>0.6487152777777776</v>
      </c>
      <c r="I39" s="37">
        <v>1</v>
      </c>
      <c r="J39" s="37">
        <v>9</v>
      </c>
      <c r="L39" s="113">
        <v>0.64593749999999983</v>
      </c>
      <c r="M39" s="37">
        <v>1</v>
      </c>
      <c r="N39" s="37">
        <v>9</v>
      </c>
    </row>
    <row r="40" spans="1:14" x14ac:dyDescent="0.3">
      <c r="A40" s="44">
        <f t="shared" si="17"/>
        <v>0.65208333333333335</v>
      </c>
      <c r="B40" s="44">
        <f t="shared" si="10"/>
        <v>0.66041666666666665</v>
      </c>
      <c r="C40" s="44">
        <f t="shared" si="11"/>
        <v>0.66597222222222219</v>
      </c>
      <c r="D40" s="44">
        <f t="shared" si="12"/>
        <v>0.67996527777777771</v>
      </c>
      <c r="E40" s="54">
        <f t="shared" si="13"/>
        <v>0.68343749999999992</v>
      </c>
      <c r="F40" s="54">
        <f t="shared" si="14"/>
        <v>0.69732638888888876</v>
      </c>
      <c r="G40" s="54">
        <f t="shared" si="15"/>
        <v>0.7028819444444443</v>
      </c>
      <c r="H40" s="55">
        <f t="shared" si="16"/>
        <v>0.7112152777777776</v>
      </c>
      <c r="I40" s="37">
        <v>1</v>
      </c>
      <c r="J40" s="37">
        <v>10</v>
      </c>
      <c r="L40" s="113">
        <v>0.70843749999999983</v>
      </c>
      <c r="M40" s="37">
        <v>1</v>
      </c>
      <c r="N40" s="37">
        <v>10</v>
      </c>
    </row>
    <row r="41" spans="1:14" x14ac:dyDescent="0.3">
      <c r="A41" s="44">
        <f t="shared" si="17"/>
        <v>0.71458333333333335</v>
      </c>
      <c r="B41" s="44">
        <f t="shared" si="10"/>
        <v>0.72291666666666665</v>
      </c>
      <c r="C41" s="44">
        <f t="shared" si="11"/>
        <v>0.72847222222222219</v>
      </c>
      <c r="D41" s="44">
        <f t="shared" si="12"/>
        <v>0.74246527777777771</v>
      </c>
      <c r="E41" s="54">
        <f t="shared" si="13"/>
        <v>0.74593749999999992</v>
      </c>
      <c r="F41" s="54">
        <f t="shared" si="14"/>
        <v>0.75982638888888876</v>
      </c>
      <c r="G41" s="54">
        <f t="shared" si="15"/>
        <v>0.7653819444444443</v>
      </c>
      <c r="H41" s="55">
        <f t="shared" si="16"/>
        <v>0.7737152777777776</v>
      </c>
      <c r="I41" s="37">
        <v>1</v>
      </c>
      <c r="J41" s="37">
        <v>11</v>
      </c>
      <c r="L41" s="113">
        <v>0.77093749999999983</v>
      </c>
      <c r="M41" s="37">
        <v>1</v>
      </c>
      <c r="N41" s="37">
        <v>11</v>
      </c>
    </row>
    <row r="42" spans="1:14" x14ac:dyDescent="0.3">
      <c r="A42" s="44">
        <f t="shared" si="17"/>
        <v>0.77708333333333335</v>
      </c>
      <c r="B42" s="44">
        <f t="shared" si="10"/>
        <v>0.78541666666666665</v>
      </c>
      <c r="C42" s="44">
        <f t="shared" si="11"/>
        <v>0.79097222222222219</v>
      </c>
      <c r="D42" s="44">
        <f t="shared" si="12"/>
        <v>0.80496527777777771</v>
      </c>
      <c r="E42" s="54">
        <f t="shared" si="13"/>
        <v>0.80843749999999992</v>
      </c>
      <c r="F42" s="54">
        <f t="shared" si="14"/>
        <v>0.82232638888888876</v>
      </c>
      <c r="G42" s="54">
        <f t="shared" si="15"/>
        <v>0.8278819444444443</v>
      </c>
      <c r="H42" s="55">
        <f t="shared" si="16"/>
        <v>0.8362152777777776</v>
      </c>
      <c r="I42" s="37">
        <v>1</v>
      </c>
      <c r="J42" s="37">
        <v>13</v>
      </c>
      <c r="L42" s="113">
        <v>0.83343749999999983</v>
      </c>
      <c r="M42" s="37">
        <v>1</v>
      </c>
      <c r="N42" s="37">
        <v>13</v>
      </c>
    </row>
    <row r="43" spans="1:14" x14ac:dyDescent="0.3">
      <c r="A43" s="44">
        <f t="shared" si="17"/>
        <v>0.83958333333333335</v>
      </c>
      <c r="B43" s="44">
        <f t="shared" si="10"/>
        <v>0.84791666666666665</v>
      </c>
      <c r="C43" s="44">
        <f t="shared" si="11"/>
        <v>0.85347222222222219</v>
      </c>
      <c r="D43" s="44">
        <f t="shared" si="12"/>
        <v>0.86746527777777771</v>
      </c>
      <c r="E43" s="54">
        <f t="shared" si="13"/>
        <v>0.87093749999999992</v>
      </c>
      <c r="F43" s="54">
        <f t="shared" si="14"/>
        <v>0.88482638888888876</v>
      </c>
      <c r="G43" s="54">
        <f t="shared" si="15"/>
        <v>0.8903819444444443</v>
      </c>
      <c r="H43" s="55">
        <f t="shared" si="16"/>
        <v>0.8987152777777776</v>
      </c>
      <c r="I43" s="37">
        <v>1</v>
      </c>
      <c r="J43" s="37">
        <v>14</v>
      </c>
      <c r="L43" s="113">
        <v>0.89593749999999983</v>
      </c>
      <c r="M43" s="37">
        <v>1</v>
      </c>
      <c r="N43" s="37">
        <v>14</v>
      </c>
    </row>
    <row r="44" spans="1:14" x14ac:dyDescent="0.3">
      <c r="I44" s="53">
        <f>SUM(I35:I43)</f>
        <v>9</v>
      </c>
      <c r="J44" s="28"/>
    </row>
    <row r="45" spans="1:14" x14ac:dyDescent="0.3">
      <c r="I45" s="28"/>
      <c r="J45" s="28"/>
    </row>
    <row r="46" spans="1:14" x14ac:dyDescent="0.3">
      <c r="E46" s="60" t="s">
        <v>23</v>
      </c>
      <c r="I46" s="28"/>
      <c r="J46" s="28"/>
    </row>
    <row r="47" spans="1:14" x14ac:dyDescent="0.3">
      <c r="A47" s="56" t="s">
        <v>19</v>
      </c>
      <c r="B47" s="56" t="s">
        <v>15</v>
      </c>
      <c r="C47" s="56" t="s">
        <v>16</v>
      </c>
      <c r="D47" s="56" t="s">
        <v>17</v>
      </c>
      <c r="E47" s="57" t="s">
        <v>17</v>
      </c>
      <c r="F47" s="57" t="s">
        <v>16</v>
      </c>
      <c r="G47" s="57" t="s">
        <v>15</v>
      </c>
      <c r="H47" s="57" t="s">
        <v>19</v>
      </c>
      <c r="I47" s="37" t="s">
        <v>12</v>
      </c>
      <c r="J47" s="63" t="s">
        <v>13</v>
      </c>
      <c r="K47" s="37" t="s">
        <v>25</v>
      </c>
      <c r="L47" s="64" t="s">
        <v>26</v>
      </c>
      <c r="M47" s="64"/>
      <c r="N47" s="64"/>
    </row>
    <row r="48" spans="1:14" x14ac:dyDescent="0.3">
      <c r="A48" s="44">
        <f>A35+TIME(0,30,0)</f>
        <v>0.36041666666666666</v>
      </c>
      <c r="B48" s="44">
        <f t="shared" ref="B48:B56" si="18">A48+TIME(0,12,0)</f>
        <v>0.36875000000000002</v>
      </c>
      <c r="C48" s="44">
        <f t="shared" ref="C48:C56" si="19">B48+TIME(0,8,0)</f>
        <v>0.37430555555555556</v>
      </c>
      <c r="D48" s="44">
        <f t="shared" ref="D48:D56" si="20">C48+TIME(0,20,0)</f>
        <v>0.38819444444444445</v>
      </c>
      <c r="E48" s="54">
        <f t="shared" ref="E48:E56" si="21">D48+TIME(0,5,0)</f>
        <v>0.39166666666666666</v>
      </c>
      <c r="F48" s="54">
        <f t="shared" ref="F48:F56" si="22">E48+TIME(0,20,0)</f>
        <v>0.40555555555555556</v>
      </c>
      <c r="G48" s="54">
        <f t="shared" ref="G48:G56" si="23">F48+TIME(0,8,0)</f>
        <v>0.41111111111111109</v>
      </c>
      <c r="H48" s="55">
        <f t="shared" ref="H48:H56" si="24">G48+TIME(0,12,0)</f>
        <v>0.41944444444444445</v>
      </c>
      <c r="I48" s="37">
        <v>1</v>
      </c>
      <c r="J48" s="63">
        <v>5</v>
      </c>
      <c r="K48" s="65"/>
      <c r="L48" s="69">
        <v>0.41666666666666669</v>
      </c>
      <c r="M48" s="37">
        <v>1</v>
      </c>
      <c r="N48" s="37">
        <v>5</v>
      </c>
    </row>
    <row r="49" spans="1:14" x14ac:dyDescent="0.3">
      <c r="A49" s="44">
        <f t="shared" ref="A49:A56" si="25">A48+TIME(0,90,0)</f>
        <v>0.42291666666666666</v>
      </c>
      <c r="B49" s="44">
        <f t="shared" si="18"/>
        <v>0.43125000000000002</v>
      </c>
      <c r="C49" s="44">
        <f t="shared" si="19"/>
        <v>0.43680555555555556</v>
      </c>
      <c r="D49" s="44">
        <f t="shared" si="20"/>
        <v>0.45069444444444445</v>
      </c>
      <c r="E49" s="54">
        <f t="shared" si="21"/>
        <v>0.45416666666666666</v>
      </c>
      <c r="F49" s="54">
        <f t="shared" si="22"/>
        <v>0.46805555555555556</v>
      </c>
      <c r="G49" s="54">
        <f t="shared" si="23"/>
        <v>0.47361111111111109</v>
      </c>
      <c r="H49" s="55">
        <f t="shared" si="24"/>
        <v>0.48194444444444445</v>
      </c>
      <c r="I49" s="37">
        <v>1</v>
      </c>
      <c r="J49" s="63">
        <v>6</v>
      </c>
      <c r="K49" s="65"/>
      <c r="L49" s="69">
        <v>0.47916666666666669</v>
      </c>
      <c r="M49" s="37">
        <v>1</v>
      </c>
      <c r="N49" s="37">
        <v>6</v>
      </c>
    </row>
    <row r="50" spans="1:14" x14ac:dyDescent="0.3">
      <c r="A50" s="44">
        <f t="shared" si="25"/>
        <v>0.48541666666666666</v>
      </c>
      <c r="B50" s="44">
        <f t="shared" si="18"/>
        <v>0.49375000000000002</v>
      </c>
      <c r="C50" s="44">
        <f t="shared" si="19"/>
        <v>0.49930555555555556</v>
      </c>
      <c r="D50" s="44">
        <f t="shared" si="20"/>
        <v>0.5131944444444444</v>
      </c>
      <c r="E50" s="54">
        <f t="shared" si="21"/>
        <v>0.51666666666666661</v>
      </c>
      <c r="F50" s="54">
        <f t="shared" si="22"/>
        <v>0.53055555555555545</v>
      </c>
      <c r="G50" s="54">
        <f t="shared" si="23"/>
        <v>0.53611111111111098</v>
      </c>
      <c r="H50" s="55">
        <f t="shared" si="24"/>
        <v>0.54444444444444429</v>
      </c>
      <c r="I50" s="37">
        <v>1</v>
      </c>
      <c r="J50" s="63">
        <v>7</v>
      </c>
      <c r="K50" s="65"/>
      <c r="L50" s="69">
        <v>0.54166666666666652</v>
      </c>
      <c r="M50" s="37">
        <v>1</v>
      </c>
      <c r="N50" s="37">
        <v>7</v>
      </c>
    </row>
    <row r="51" spans="1:14" x14ac:dyDescent="0.3">
      <c r="A51" s="44">
        <f t="shared" si="25"/>
        <v>0.54791666666666661</v>
      </c>
      <c r="B51" s="44">
        <f t="shared" si="18"/>
        <v>0.55624999999999991</v>
      </c>
      <c r="C51" s="44">
        <f t="shared" si="19"/>
        <v>0.56180555555555545</v>
      </c>
      <c r="D51" s="44">
        <f t="shared" si="20"/>
        <v>0.57569444444444429</v>
      </c>
      <c r="E51" s="54">
        <f t="shared" si="21"/>
        <v>0.5791666666666665</v>
      </c>
      <c r="F51" s="54">
        <f t="shared" si="22"/>
        <v>0.59305555555555534</v>
      </c>
      <c r="G51" s="54">
        <f t="shared" si="23"/>
        <v>0.59861111111111087</v>
      </c>
      <c r="H51" s="55">
        <f t="shared" si="24"/>
        <v>0.60694444444444418</v>
      </c>
      <c r="I51" s="37">
        <v>0</v>
      </c>
      <c r="J51" s="63" t="s">
        <v>14</v>
      </c>
      <c r="K51" s="66">
        <v>2.7777777777777779E-3</v>
      </c>
      <c r="L51" s="69">
        <v>0.60416666666666641</v>
      </c>
      <c r="M51" s="37">
        <v>1</v>
      </c>
      <c r="N51" s="37">
        <v>8</v>
      </c>
    </row>
    <row r="52" spans="1:14" x14ac:dyDescent="0.3">
      <c r="A52" s="44">
        <f t="shared" si="25"/>
        <v>0.61041666666666661</v>
      </c>
      <c r="B52" s="44">
        <f t="shared" si="18"/>
        <v>0.61874999999999991</v>
      </c>
      <c r="C52" s="44">
        <f t="shared" si="19"/>
        <v>0.62430555555555545</v>
      </c>
      <c r="D52" s="44">
        <f t="shared" si="20"/>
        <v>0.63819444444444429</v>
      </c>
      <c r="E52" s="54">
        <f t="shared" si="21"/>
        <v>0.6416666666666665</v>
      </c>
      <c r="F52" s="54">
        <f t="shared" si="22"/>
        <v>0.65555555555555534</v>
      </c>
      <c r="G52" s="54">
        <f t="shared" si="23"/>
        <v>0.66111111111111087</v>
      </c>
      <c r="H52" s="55">
        <f t="shared" si="24"/>
        <v>0.66944444444444418</v>
      </c>
      <c r="I52" s="37">
        <v>1</v>
      </c>
      <c r="J52" s="63">
        <v>9</v>
      </c>
      <c r="K52" s="37"/>
      <c r="L52" s="69">
        <v>0.66666666666666641</v>
      </c>
      <c r="M52" s="37">
        <v>1</v>
      </c>
      <c r="N52" s="37">
        <v>9</v>
      </c>
    </row>
    <row r="53" spans="1:14" x14ac:dyDescent="0.3">
      <c r="A53" s="44">
        <f t="shared" si="25"/>
        <v>0.67291666666666661</v>
      </c>
      <c r="B53" s="44">
        <f t="shared" si="18"/>
        <v>0.68124999999999991</v>
      </c>
      <c r="C53" s="44">
        <f t="shared" si="19"/>
        <v>0.68680555555555545</v>
      </c>
      <c r="D53" s="44">
        <f t="shared" si="20"/>
        <v>0.70069444444444429</v>
      </c>
      <c r="E53" s="54">
        <f t="shared" si="21"/>
        <v>0.7041666666666665</v>
      </c>
      <c r="F53" s="54">
        <f t="shared" si="22"/>
        <v>0.71805555555555534</v>
      </c>
      <c r="G53" s="54">
        <f t="shared" si="23"/>
        <v>0.72361111111111087</v>
      </c>
      <c r="H53" s="55">
        <f t="shared" si="24"/>
        <v>0.73194444444444418</v>
      </c>
      <c r="I53" s="37">
        <v>1</v>
      </c>
      <c r="J53" s="63">
        <v>11</v>
      </c>
      <c r="K53" s="37"/>
      <c r="L53" s="70">
        <v>0.72916666666666641</v>
      </c>
      <c r="M53" s="37">
        <v>1</v>
      </c>
      <c r="N53" s="37">
        <v>11</v>
      </c>
    </row>
    <row r="54" spans="1:14" x14ac:dyDescent="0.3">
      <c r="A54" s="44">
        <f t="shared" si="25"/>
        <v>0.73541666666666661</v>
      </c>
      <c r="B54" s="44">
        <f t="shared" si="18"/>
        <v>0.74374999999999991</v>
      </c>
      <c r="C54" s="44">
        <f t="shared" si="19"/>
        <v>0.74930555555555545</v>
      </c>
      <c r="D54" s="44">
        <f t="shared" si="20"/>
        <v>0.76319444444444429</v>
      </c>
      <c r="E54" s="54">
        <f t="shared" si="21"/>
        <v>0.7666666666666665</v>
      </c>
      <c r="F54" s="54">
        <f t="shared" si="22"/>
        <v>0.78055555555555534</v>
      </c>
      <c r="G54" s="54">
        <f t="shared" si="23"/>
        <v>0.78611111111111087</v>
      </c>
      <c r="H54" s="55">
        <f t="shared" si="24"/>
        <v>0.79444444444444418</v>
      </c>
      <c r="I54" s="37">
        <v>1</v>
      </c>
      <c r="J54" s="63">
        <v>12</v>
      </c>
      <c r="K54" s="37"/>
      <c r="L54" s="69">
        <v>0.79166666666666641</v>
      </c>
      <c r="M54" s="37">
        <v>1</v>
      </c>
      <c r="N54" s="37">
        <v>12</v>
      </c>
    </row>
    <row r="55" spans="1:14" x14ac:dyDescent="0.3">
      <c r="A55" s="44">
        <f t="shared" si="25"/>
        <v>0.79791666666666661</v>
      </c>
      <c r="B55" s="44">
        <f t="shared" si="18"/>
        <v>0.80624999999999991</v>
      </c>
      <c r="C55" s="44">
        <f t="shared" si="19"/>
        <v>0.81180555555555545</v>
      </c>
      <c r="D55" s="44">
        <f t="shared" si="20"/>
        <v>0.82569444444444429</v>
      </c>
      <c r="E55" s="54">
        <f t="shared" si="21"/>
        <v>0.8291666666666665</v>
      </c>
      <c r="F55" s="54">
        <f t="shared" si="22"/>
        <v>0.84305555555555534</v>
      </c>
      <c r="G55" s="54">
        <f t="shared" si="23"/>
        <v>0.84861111111111087</v>
      </c>
      <c r="H55" s="55">
        <f t="shared" si="24"/>
        <v>0.85694444444444418</v>
      </c>
      <c r="I55" s="37">
        <v>1</v>
      </c>
      <c r="J55" s="63">
        <v>13</v>
      </c>
      <c r="K55" s="37"/>
      <c r="L55" s="69">
        <v>0.85416666666666641</v>
      </c>
      <c r="M55" s="37">
        <v>1</v>
      </c>
      <c r="N55" s="37">
        <v>13</v>
      </c>
    </row>
    <row r="56" spans="1:14" x14ac:dyDescent="0.3">
      <c r="A56" s="44">
        <f t="shared" si="25"/>
        <v>0.86041666666666661</v>
      </c>
      <c r="B56" s="44">
        <f t="shared" si="18"/>
        <v>0.86874999999999991</v>
      </c>
      <c r="C56" s="44">
        <f t="shared" si="19"/>
        <v>0.87430555555555545</v>
      </c>
      <c r="D56" s="44">
        <f t="shared" si="20"/>
        <v>0.88819444444444429</v>
      </c>
      <c r="E56" s="54">
        <f t="shared" si="21"/>
        <v>0.8916666666666665</v>
      </c>
      <c r="F56" s="54">
        <f t="shared" si="22"/>
        <v>0.90555555555555534</v>
      </c>
      <c r="G56" s="54">
        <f t="shared" si="23"/>
        <v>0.91111111111111087</v>
      </c>
      <c r="H56" s="55">
        <f t="shared" si="24"/>
        <v>0.91944444444444418</v>
      </c>
      <c r="I56" s="37">
        <v>1</v>
      </c>
      <c r="J56" s="63">
        <v>14</v>
      </c>
      <c r="K56" s="37"/>
      <c r="L56" s="69">
        <v>0.91666666666666641</v>
      </c>
      <c r="M56" s="37">
        <v>1</v>
      </c>
      <c r="N56" s="37">
        <v>14</v>
      </c>
    </row>
    <row r="57" spans="1:14" x14ac:dyDescent="0.3">
      <c r="I57" s="53">
        <f>SUM(I48:I56)</f>
        <v>8</v>
      </c>
      <c r="K57" s="28"/>
      <c r="L57" s="28"/>
      <c r="M57" s="53">
        <f>SUM(M48:M56)</f>
        <v>9</v>
      </c>
    </row>
    <row r="59" spans="1:14" ht="15" thickBot="1" x14ac:dyDescent="0.35"/>
    <row r="60" spans="1:14" ht="15" thickBot="1" x14ac:dyDescent="0.35">
      <c r="E60" s="134" t="s">
        <v>62</v>
      </c>
      <c r="F60" s="135"/>
      <c r="G60" s="136"/>
    </row>
    <row r="61" spans="1:14" x14ac:dyDescent="0.3">
      <c r="E61" s="126" t="s">
        <v>57</v>
      </c>
      <c r="F61" s="126" t="s">
        <v>58</v>
      </c>
      <c r="G61" s="133" t="s">
        <v>59</v>
      </c>
    </row>
    <row r="62" spans="1:14" x14ac:dyDescent="0.3">
      <c r="E62" s="125">
        <v>0.39593750000000005</v>
      </c>
      <c r="F62" s="127">
        <v>0.41666666666666669</v>
      </c>
      <c r="G62" s="128">
        <v>1</v>
      </c>
    </row>
    <row r="63" spans="1:14" x14ac:dyDescent="0.3">
      <c r="E63" s="125">
        <v>0.45843750000000005</v>
      </c>
      <c r="F63" s="127">
        <v>0.47916666666666669</v>
      </c>
      <c r="G63" s="128">
        <v>1</v>
      </c>
    </row>
    <row r="64" spans="1:14" x14ac:dyDescent="0.3">
      <c r="E64" s="125">
        <v>0.52093749999999994</v>
      </c>
      <c r="F64" s="127">
        <v>0.54166666666666652</v>
      </c>
      <c r="G64" s="128">
        <v>1</v>
      </c>
    </row>
    <row r="65" spans="5:7" x14ac:dyDescent="0.3">
      <c r="E65" s="125">
        <v>0.58343749999999983</v>
      </c>
      <c r="F65" s="127">
        <v>0.60416666666666641</v>
      </c>
      <c r="G65" s="128">
        <v>1</v>
      </c>
    </row>
    <row r="66" spans="5:7" x14ac:dyDescent="0.3">
      <c r="E66" s="125">
        <v>0.64593749999999983</v>
      </c>
      <c r="F66" s="127">
        <v>0.66666666666666641</v>
      </c>
      <c r="G66" s="128">
        <v>1</v>
      </c>
    </row>
    <row r="67" spans="5:7" x14ac:dyDescent="0.3">
      <c r="E67" s="125">
        <v>0.70843749999999983</v>
      </c>
      <c r="F67" s="125">
        <v>0.72916666666666641</v>
      </c>
      <c r="G67" s="128">
        <v>1</v>
      </c>
    </row>
    <row r="68" spans="5:7" x14ac:dyDescent="0.3">
      <c r="E68" s="125">
        <v>0.77093749999999983</v>
      </c>
      <c r="F68" s="127">
        <v>0.79166666666666641</v>
      </c>
      <c r="G68" s="128">
        <v>1</v>
      </c>
    </row>
    <row r="69" spans="5:7" x14ac:dyDescent="0.3">
      <c r="E69" s="125">
        <v>0.83343749999999983</v>
      </c>
      <c r="F69" s="127">
        <v>0.85416666666666641</v>
      </c>
      <c r="G69" s="128">
        <v>1</v>
      </c>
    </row>
    <row r="70" spans="5:7" x14ac:dyDescent="0.3">
      <c r="E70" s="125">
        <v>0.89593749999999983</v>
      </c>
      <c r="F70" s="127">
        <v>0.91666666666666641</v>
      </c>
      <c r="G70" s="128">
        <v>1</v>
      </c>
    </row>
  </sheetData>
  <mergeCells count="6">
    <mergeCell ref="E60:G60"/>
    <mergeCell ref="G1:K1"/>
    <mergeCell ref="L1:P1"/>
    <mergeCell ref="L47:N47"/>
    <mergeCell ref="L34:N34"/>
    <mergeCell ref="L21:N2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650C7-C58A-4103-8EAE-33FB9D63C443}">
  <sheetPr codeName="Sheet5"/>
  <dimension ref="A1:P30"/>
  <sheetViews>
    <sheetView zoomScale="66" workbookViewId="0">
      <selection activeCell="K24" sqref="K24"/>
    </sheetView>
  </sheetViews>
  <sheetFormatPr defaultRowHeight="14.4" x14ac:dyDescent="0.3"/>
  <cols>
    <col min="1" max="24" width="13.77734375" customWidth="1"/>
    <col min="25" max="52" width="12.77734375" customWidth="1"/>
  </cols>
  <sheetData>
    <row r="1" spans="1:16" x14ac:dyDescent="0.3">
      <c r="A1" s="5" t="s">
        <v>5</v>
      </c>
      <c r="B1" s="6" t="s">
        <v>6</v>
      </c>
      <c r="C1" s="6" t="s">
        <v>10</v>
      </c>
      <c r="D1" s="6" t="s">
        <v>10</v>
      </c>
      <c r="E1" s="6" t="s">
        <v>10</v>
      </c>
      <c r="F1" s="6" t="s">
        <v>7</v>
      </c>
      <c r="G1" s="30" t="s">
        <v>8</v>
      </c>
      <c r="H1" s="30"/>
      <c r="I1" s="30"/>
      <c r="J1" s="30"/>
      <c r="K1" s="30"/>
      <c r="L1" s="31" t="s">
        <v>9</v>
      </c>
      <c r="M1" s="31"/>
      <c r="N1" s="31"/>
      <c r="O1" s="31"/>
      <c r="P1" s="31"/>
    </row>
    <row r="2" spans="1:16" x14ac:dyDescent="0.3">
      <c r="A2" s="7">
        <v>1</v>
      </c>
      <c r="B2" s="8">
        <f>TIME(4,50,0)</f>
        <v>0.20138888888888887</v>
      </c>
      <c r="C2" s="8">
        <f>TIME(5,5,0)</f>
        <v>0.21180555555555555</v>
      </c>
      <c r="D2" s="8">
        <f>TIME(5,25,0)</f>
        <v>0.22569444444444445</v>
      </c>
      <c r="E2" s="8">
        <f>TIME(5,25,0)</f>
        <v>0.22569444444444445</v>
      </c>
      <c r="F2" s="8">
        <f>TIME(5,38,0)</f>
        <v>0.23472222222222219</v>
      </c>
      <c r="G2" s="9">
        <f t="shared" ref="G2:L16" si="0">B2-TIME(0,15,0)</f>
        <v>0.19097222222222221</v>
      </c>
      <c r="H2" s="9">
        <f t="shared" si="0"/>
        <v>0.2013888888888889</v>
      </c>
      <c r="I2" s="9">
        <f t="shared" si="0"/>
        <v>0.21527777777777779</v>
      </c>
      <c r="J2" s="9">
        <f t="shared" si="0"/>
        <v>0.21527777777777779</v>
      </c>
      <c r="K2" s="27">
        <f>F2-TIME(0,15,0)</f>
        <v>0.22430555555555554</v>
      </c>
      <c r="L2" s="26">
        <f>G2-TIME(0,15,0)</f>
        <v>0.18055555555555555</v>
      </c>
      <c r="M2" s="10">
        <f t="shared" ref="M2:P16" si="1">H2-TIME(0,15,0)</f>
        <v>0.19097222222222224</v>
      </c>
      <c r="N2" s="10">
        <f t="shared" si="1"/>
        <v>0.20486111111111113</v>
      </c>
      <c r="O2" s="10">
        <f t="shared" si="1"/>
        <v>0.20486111111111113</v>
      </c>
      <c r="P2" s="10">
        <f t="shared" si="1"/>
        <v>0.21388888888888888</v>
      </c>
    </row>
    <row r="3" spans="1:16" x14ac:dyDescent="0.3">
      <c r="A3" s="7">
        <v>2</v>
      </c>
      <c r="B3" s="8">
        <f>TIME(6,0,0)</f>
        <v>0.25</v>
      </c>
      <c r="C3" s="8">
        <f>TIME(6,30,0)</f>
        <v>0.27083333333333331</v>
      </c>
      <c r="D3" s="8">
        <f>TIME(6,35,0)</f>
        <v>0.27430555555555552</v>
      </c>
      <c r="E3" s="8">
        <f>TIME(6,40,0)</f>
        <v>0.27777777777777779</v>
      </c>
      <c r="F3" s="8">
        <f>TIME(7,0,0)</f>
        <v>0.29166666666666669</v>
      </c>
      <c r="G3" s="9">
        <f t="shared" si="0"/>
        <v>0.23958333333333334</v>
      </c>
      <c r="H3" s="9">
        <f t="shared" si="0"/>
        <v>0.26041666666666663</v>
      </c>
      <c r="I3" s="9">
        <f t="shared" si="0"/>
        <v>0.26388888888888884</v>
      </c>
      <c r="J3" s="9">
        <f t="shared" si="0"/>
        <v>0.2673611111111111</v>
      </c>
      <c r="K3" s="27">
        <f t="shared" si="0"/>
        <v>0.28125</v>
      </c>
      <c r="L3" s="26">
        <f t="shared" si="0"/>
        <v>0.22916666666666669</v>
      </c>
      <c r="M3" s="10">
        <f t="shared" si="1"/>
        <v>0.24999999999999997</v>
      </c>
      <c r="N3" s="10">
        <f t="shared" si="1"/>
        <v>0.25347222222222215</v>
      </c>
      <c r="O3" s="10">
        <f t="shared" si="1"/>
        <v>0.25694444444444442</v>
      </c>
      <c r="P3" s="10">
        <f t="shared" si="1"/>
        <v>0.27083333333333331</v>
      </c>
    </row>
    <row r="4" spans="1:16" x14ac:dyDescent="0.3">
      <c r="A4" s="7">
        <v>3</v>
      </c>
      <c r="B4" s="8">
        <f>TIME(7,15,0)</f>
        <v>0.30208333333333331</v>
      </c>
      <c r="C4" s="8">
        <f>TIME(7,15,0)</f>
        <v>0.30208333333333331</v>
      </c>
      <c r="D4" s="8">
        <f>TIME(7,35,0)</f>
        <v>0.31597222222222221</v>
      </c>
      <c r="E4" s="8">
        <f>TIME(7,55,0)</f>
        <v>0.3298611111111111</v>
      </c>
      <c r="F4" s="8">
        <f>TIME(8,10,0)</f>
        <v>0.34027777777777773</v>
      </c>
      <c r="G4" s="9">
        <f t="shared" si="0"/>
        <v>0.29166666666666663</v>
      </c>
      <c r="H4" s="9">
        <f t="shared" si="0"/>
        <v>0.29166666666666663</v>
      </c>
      <c r="I4" s="9">
        <f t="shared" si="0"/>
        <v>0.30555555555555552</v>
      </c>
      <c r="J4" s="9">
        <f t="shared" si="0"/>
        <v>0.31944444444444442</v>
      </c>
      <c r="K4" s="27">
        <f t="shared" si="0"/>
        <v>0.32986111111111105</v>
      </c>
      <c r="L4" s="26">
        <f t="shared" si="0"/>
        <v>0.28124999999999994</v>
      </c>
      <c r="M4" s="10">
        <f t="shared" si="1"/>
        <v>0.28124999999999994</v>
      </c>
      <c r="N4" s="10">
        <f t="shared" si="1"/>
        <v>0.29513888888888884</v>
      </c>
      <c r="O4" s="10">
        <f t="shared" si="1"/>
        <v>0.30902777777777773</v>
      </c>
      <c r="P4" s="10">
        <f t="shared" si="1"/>
        <v>0.31944444444444436</v>
      </c>
    </row>
    <row r="5" spans="1:16" x14ac:dyDescent="0.3">
      <c r="A5" s="7">
        <v>4</v>
      </c>
      <c r="B5" s="8">
        <f>TIME(9,0,0)</f>
        <v>0.375</v>
      </c>
      <c r="C5" s="8">
        <f>TIME(9,20,0)</f>
        <v>0.3888888888888889</v>
      </c>
      <c r="D5" s="8">
        <f>TIME(9,30,0)</f>
        <v>0.39583333333333331</v>
      </c>
      <c r="E5" s="8">
        <f>TIME(9,55,0)</f>
        <v>0.41319444444444442</v>
      </c>
      <c r="F5" s="8">
        <f>TIME(10,5,0)</f>
        <v>0.4201388888888889</v>
      </c>
      <c r="G5" s="9">
        <f t="shared" si="0"/>
        <v>0.36458333333333331</v>
      </c>
      <c r="H5" s="9">
        <f t="shared" si="0"/>
        <v>0.37847222222222221</v>
      </c>
      <c r="I5" s="9">
        <f t="shared" si="0"/>
        <v>0.38541666666666663</v>
      </c>
      <c r="J5" s="9">
        <f t="shared" si="0"/>
        <v>0.40277777777777773</v>
      </c>
      <c r="K5" s="27">
        <f t="shared" si="0"/>
        <v>0.40972222222222221</v>
      </c>
      <c r="L5" s="26">
        <f t="shared" si="0"/>
        <v>0.35416666666666663</v>
      </c>
      <c r="M5" s="10">
        <f t="shared" si="1"/>
        <v>0.36805555555555552</v>
      </c>
      <c r="N5" s="10">
        <f t="shared" si="1"/>
        <v>0.37499999999999994</v>
      </c>
      <c r="O5" s="10">
        <f t="shared" si="1"/>
        <v>0.39236111111111105</v>
      </c>
      <c r="P5" s="10">
        <f t="shared" si="1"/>
        <v>0.39930555555555552</v>
      </c>
    </row>
    <row r="6" spans="1:16" x14ac:dyDescent="0.3">
      <c r="A6" s="7">
        <v>5</v>
      </c>
      <c r="B6" s="8">
        <f>TIME(10,15,0)</f>
        <v>0.42708333333333331</v>
      </c>
      <c r="C6" s="8">
        <f>TIME(10,25,0)</f>
        <v>0.43402777777777773</v>
      </c>
      <c r="D6" s="8">
        <f>TIME(10,35,0)</f>
        <v>0.44097222222222227</v>
      </c>
      <c r="E6" s="8">
        <f>TIME(11,5,0)</f>
        <v>0.46180555555555558</v>
      </c>
      <c r="F6" s="8">
        <f>TIME(11,15,0)</f>
        <v>0.46875</v>
      </c>
      <c r="G6" s="9">
        <f t="shared" si="0"/>
        <v>0.41666666666666663</v>
      </c>
      <c r="H6" s="9">
        <f t="shared" si="0"/>
        <v>0.42361111111111105</v>
      </c>
      <c r="I6" s="9">
        <f t="shared" si="0"/>
        <v>0.43055555555555558</v>
      </c>
      <c r="J6" s="9">
        <f t="shared" si="0"/>
        <v>0.4513888888888889</v>
      </c>
      <c r="K6" s="27">
        <f t="shared" si="0"/>
        <v>0.45833333333333331</v>
      </c>
      <c r="L6" s="26">
        <f t="shared" si="0"/>
        <v>0.40624999999999994</v>
      </c>
      <c r="M6" s="10">
        <f t="shared" si="1"/>
        <v>0.41319444444444436</v>
      </c>
      <c r="N6" s="10">
        <f t="shared" si="1"/>
        <v>0.4201388888888889</v>
      </c>
      <c r="O6" s="10">
        <f t="shared" si="1"/>
        <v>0.44097222222222221</v>
      </c>
      <c r="P6" s="10">
        <f t="shared" si="1"/>
        <v>0.44791666666666663</v>
      </c>
    </row>
    <row r="7" spans="1:16" x14ac:dyDescent="0.3">
      <c r="A7" s="7">
        <v>6</v>
      </c>
      <c r="B7" s="8">
        <f>TIME(11,20,0)</f>
        <v>0.47222222222222227</v>
      </c>
      <c r="C7" s="8">
        <f>TIME(11,30,0)</f>
        <v>0.47916666666666669</v>
      </c>
      <c r="D7" s="8">
        <f>TIME(11,45,0)</f>
        <v>0.48958333333333331</v>
      </c>
      <c r="E7" s="8">
        <f>TIME(11,55,0)</f>
        <v>0.49652777777777773</v>
      </c>
      <c r="F7" s="8">
        <f>TIME(12,5,5)</f>
        <v>0.50353009259259263</v>
      </c>
      <c r="G7" s="9">
        <f t="shared" si="0"/>
        <v>0.46180555555555558</v>
      </c>
      <c r="H7" s="9">
        <f t="shared" si="0"/>
        <v>0.46875</v>
      </c>
      <c r="I7" s="9">
        <f t="shared" si="0"/>
        <v>0.47916666666666663</v>
      </c>
      <c r="J7" s="9">
        <f t="shared" si="0"/>
        <v>0.48611111111111105</v>
      </c>
      <c r="K7" s="27">
        <f t="shared" si="0"/>
        <v>0.49311342592592594</v>
      </c>
      <c r="L7" s="26">
        <f t="shared" si="0"/>
        <v>0.4513888888888889</v>
      </c>
      <c r="M7" s="10">
        <f t="shared" si="1"/>
        <v>0.45833333333333331</v>
      </c>
      <c r="N7" s="10">
        <f t="shared" si="1"/>
        <v>0.46874999999999994</v>
      </c>
      <c r="O7" s="10">
        <f t="shared" si="1"/>
        <v>0.47569444444444436</v>
      </c>
      <c r="P7" s="10">
        <f t="shared" si="1"/>
        <v>0.48269675925925926</v>
      </c>
    </row>
    <row r="8" spans="1:16" x14ac:dyDescent="0.3">
      <c r="A8" s="7">
        <v>7</v>
      </c>
      <c r="B8" s="8">
        <f>TIME(12,30,0)</f>
        <v>0.52083333333333337</v>
      </c>
      <c r="C8" s="8">
        <f>TIME(12,35,0)</f>
        <v>0.52430555555555558</v>
      </c>
      <c r="D8" s="8">
        <f>TIME(13,0,0)</f>
        <v>0.54166666666666663</v>
      </c>
      <c r="E8" s="8">
        <f>TIME(13,10,0)</f>
        <v>0.54861111111111105</v>
      </c>
      <c r="F8" s="8">
        <f>TIME(13,35,0)</f>
        <v>0.56597222222222221</v>
      </c>
      <c r="G8" s="9">
        <f t="shared" si="0"/>
        <v>0.51041666666666674</v>
      </c>
      <c r="H8" s="9">
        <f t="shared" si="0"/>
        <v>0.51388888888888895</v>
      </c>
      <c r="I8" s="9">
        <f t="shared" si="0"/>
        <v>0.53125</v>
      </c>
      <c r="J8" s="9">
        <f t="shared" si="0"/>
        <v>0.53819444444444442</v>
      </c>
      <c r="K8" s="27">
        <f t="shared" si="0"/>
        <v>0.55555555555555558</v>
      </c>
      <c r="L8" s="26">
        <f t="shared" si="0"/>
        <v>0.50000000000000011</v>
      </c>
      <c r="M8" s="10">
        <f t="shared" si="1"/>
        <v>0.50347222222222232</v>
      </c>
      <c r="N8" s="10">
        <f t="shared" si="1"/>
        <v>0.52083333333333337</v>
      </c>
      <c r="O8" s="10">
        <f t="shared" si="1"/>
        <v>0.52777777777777779</v>
      </c>
      <c r="P8" s="10">
        <f t="shared" si="1"/>
        <v>0.54513888888888895</v>
      </c>
    </row>
    <row r="9" spans="1:16" x14ac:dyDescent="0.3">
      <c r="A9" s="7">
        <v>8</v>
      </c>
      <c r="B9" s="8">
        <f>TIME(13,50,0)</f>
        <v>0.57638888888888895</v>
      </c>
      <c r="C9" s="8">
        <f>TIME(13,55,0)</f>
        <v>0.57986111111111105</v>
      </c>
      <c r="D9" s="8">
        <f>TIME(14,5,0)</f>
        <v>0.58680555555555558</v>
      </c>
      <c r="E9" s="8">
        <f>TIME(14,20,0)</f>
        <v>0.59722222222222221</v>
      </c>
      <c r="F9" s="8">
        <f>TIME(14,45,0)</f>
        <v>0.61458333333333337</v>
      </c>
      <c r="G9" s="9">
        <f t="shared" si="0"/>
        <v>0.56597222222222232</v>
      </c>
      <c r="H9" s="9">
        <f t="shared" si="0"/>
        <v>0.56944444444444442</v>
      </c>
      <c r="I9" s="9">
        <f t="shared" si="0"/>
        <v>0.57638888888888895</v>
      </c>
      <c r="J9" s="9">
        <f t="shared" si="0"/>
        <v>0.58680555555555558</v>
      </c>
      <c r="K9" s="27">
        <f t="shared" si="0"/>
        <v>0.60416666666666674</v>
      </c>
      <c r="L9" s="26">
        <f t="shared" si="0"/>
        <v>0.55555555555555569</v>
      </c>
      <c r="M9" s="10">
        <f t="shared" si="1"/>
        <v>0.55902777777777779</v>
      </c>
      <c r="N9" s="10">
        <f t="shared" si="1"/>
        <v>0.56597222222222232</v>
      </c>
      <c r="O9" s="10">
        <f t="shared" si="1"/>
        <v>0.57638888888888895</v>
      </c>
      <c r="P9" s="10">
        <f t="shared" si="1"/>
        <v>0.59375000000000011</v>
      </c>
    </row>
    <row r="10" spans="1:16" x14ac:dyDescent="0.3">
      <c r="A10" s="7">
        <v>9</v>
      </c>
      <c r="B10" s="8">
        <f>TIME(15,10,0)</f>
        <v>0.63194444444444442</v>
      </c>
      <c r="C10" s="8">
        <f>TIME(15,30,0)</f>
        <v>0.64583333333333337</v>
      </c>
      <c r="D10" s="8">
        <f>TIME(15,50,0)</f>
        <v>0.65972222222222221</v>
      </c>
      <c r="E10" s="8">
        <f>TIME(16,10,0)</f>
        <v>0.67361111111111116</v>
      </c>
      <c r="F10" s="8">
        <f>TIME(16,20,0)</f>
        <v>0.68055555555555547</v>
      </c>
      <c r="G10" s="9">
        <f t="shared" si="0"/>
        <v>0.62152777777777779</v>
      </c>
      <c r="H10" s="9">
        <f t="shared" si="0"/>
        <v>0.63541666666666674</v>
      </c>
      <c r="I10" s="9">
        <f t="shared" si="0"/>
        <v>0.64930555555555558</v>
      </c>
      <c r="J10" s="9">
        <f t="shared" si="0"/>
        <v>0.66319444444444453</v>
      </c>
      <c r="K10" s="27">
        <f t="shared" si="0"/>
        <v>0.67013888888888884</v>
      </c>
      <c r="L10" s="26">
        <f t="shared" si="0"/>
        <v>0.61111111111111116</v>
      </c>
      <c r="M10" s="10">
        <f t="shared" si="1"/>
        <v>0.62500000000000011</v>
      </c>
      <c r="N10" s="10">
        <f t="shared" si="1"/>
        <v>0.63888888888888895</v>
      </c>
      <c r="O10" s="10">
        <f t="shared" si="1"/>
        <v>0.6527777777777779</v>
      </c>
      <c r="P10" s="10">
        <f t="shared" si="1"/>
        <v>0.65972222222222221</v>
      </c>
    </row>
    <row r="11" spans="1:16" x14ac:dyDescent="0.3">
      <c r="A11" s="7">
        <v>10</v>
      </c>
      <c r="B11" s="8">
        <f>TIME(16,30,0)</f>
        <v>0.6875</v>
      </c>
      <c r="C11" s="8">
        <f>TIME(16,45,0)</f>
        <v>0.69791666666666663</v>
      </c>
      <c r="D11" s="8">
        <f>TIME(16,55,0)</f>
        <v>0.70486111111111116</v>
      </c>
      <c r="E11" s="8">
        <f>TIME(17,0,0)</f>
        <v>0.70833333333333337</v>
      </c>
      <c r="F11" s="8">
        <f>TIME(17,30,0)</f>
        <v>0.72916666666666663</v>
      </c>
      <c r="G11" s="9">
        <f t="shared" si="0"/>
        <v>0.67708333333333337</v>
      </c>
      <c r="H11" s="9">
        <f t="shared" si="0"/>
        <v>0.6875</v>
      </c>
      <c r="I11" s="9">
        <f t="shared" si="0"/>
        <v>0.69444444444444453</v>
      </c>
      <c r="J11" s="9">
        <f t="shared" si="0"/>
        <v>0.69791666666666674</v>
      </c>
      <c r="K11" s="27">
        <f t="shared" si="0"/>
        <v>0.71875</v>
      </c>
      <c r="L11" s="26">
        <f t="shared" si="0"/>
        <v>0.66666666666666674</v>
      </c>
      <c r="M11" s="10">
        <f t="shared" si="1"/>
        <v>0.67708333333333337</v>
      </c>
      <c r="N11" s="10">
        <f t="shared" si="1"/>
        <v>0.6840277777777779</v>
      </c>
      <c r="O11" s="10">
        <f t="shared" si="1"/>
        <v>0.68750000000000011</v>
      </c>
      <c r="P11" s="10">
        <f t="shared" si="1"/>
        <v>0.70833333333333337</v>
      </c>
    </row>
    <row r="12" spans="1:16" x14ac:dyDescent="0.3">
      <c r="A12" s="7">
        <v>11</v>
      </c>
      <c r="B12" s="8">
        <f>TIME(17,45,0)</f>
        <v>0.73958333333333337</v>
      </c>
      <c r="C12" s="8">
        <f>TIME(18,0,0)</f>
        <v>0.75</v>
      </c>
      <c r="D12" s="8">
        <f>TIME(18,25,0)</f>
        <v>0.76736111111111116</v>
      </c>
      <c r="E12" s="8">
        <f>TIME(18,35,0)</f>
        <v>0.77430555555555547</v>
      </c>
      <c r="F12" s="8">
        <f>TIME(18,50,0)</f>
        <v>0.78472222222222221</v>
      </c>
      <c r="G12" s="9">
        <f t="shared" si="0"/>
        <v>0.72916666666666674</v>
      </c>
      <c r="H12" s="9">
        <f t="shared" si="0"/>
        <v>0.73958333333333337</v>
      </c>
      <c r="I12" s="9">
        <f t="shared" si="0"/>
        <v>0.75694444444444453</v>
      </c>
      <c r="J12" s="9">
        <f t="shared" si="0"/>
        <v>0.76388888888888884</v>
      </c>
      <c r="K12" s="27">
        <f t="shared" si="0"/>
        <v>0.77430555555555558</v>
      </c>
      <c r="L12" s="26">
        <f t="shared" si="0"/>
        <v>0.71875000000000011</v>
      </c>
      <c r="M12" s="10">
        <f t="shared" si="1"/>
        <v>0.72916666666666674</v>
      </c>
      <c r="N12" s="10">
        <f t="shared" si="1"/>
        <v>0.7465277777777779</v>
      </c>
      <c r="O12" s="10">
        <f t="shared" si="1"/>
        <v>0.75347222222222221</v>
      </c>
      <c r="P12" s="10">
        <f t="shared" si="1"/>
        <v>0.76388888888888895</v>
      </c>
    </row>
    <row r="13" spans="1:16" x14ac:dyDescent="0.3">
      <c r="A13" s="7">
        <v>12</v>
      </c>
      <c r="B13" s="8">
        <f>TIME(19,0,0)</f>
        <v>0.79166666666666663</v>
      </c>
      <c r="C13" s="8">
        <f>TIME(19,5,0)</f>
        <v>0.79513888888888884</v>
      </c>
      <c r="D13" s="8">
        <f>TIME(19,20,0)</f>
        <v>0.80555555555555547</v>
      </c>
      <c r="E13" s="8">
        <f>TIME(19,30,0)</f>
        <v>0.8125</v>
      </c>
      <c r="F13" s="8">
        <f>TIME(19,55,0)</f>
        <v>0.82986111111111116</v>
      </c>
      <c r="G13" s="9">
        <f t="shared" si="0"/>
        <v>0.78125</v>
      </c>
      <c r="H13" s="9">
        <f t="shared" si="0"/>
        <v>0.78472222222222221</v>
      </c>
      <c r="I13" s="9">
        <f t="shared" si="0"/>
        <v>0.79513888888888884</v>
      </c>
      <c r="J13" s="9">
        <f t="shared" si="0"/>
        <v>0.80208333333333337</v>
      </c>
      <c r="K13" s="27">
        <f t="shared" si="0"/>
        <v>0.81944444444444453</v>
      </c>
      <c r="L13" s="26">
        <f t="shared" si="0"/>
        <v>0.77083333333333337</v>
      </c>
      <c r="M13" s="10">
        <f t="shared" si="1"/>
        <v>0.77430555555555558</v>
      </c>
      <c r="N13" s="10">
        <f t="shared" si="1"/>
        <v>0.78472222222222221</v>
      </c>
      <c r="O13" s="10">
        <f t="shared" si="1"/>
        <v>0.79166666666666674</v>
      </c>
      <c r="P13" s="10">
        <f t="shared" si="1"/>
        <v>0.8090277777777779</v>
      </c>
    </row>
    <row r="14" spans="1:16" x14ac:dyDescent="0.3">
      <c r="A14" s="7">
        <v>13</v>
      </c>
      <c r="B14" s="8">
        <f>TIME(20,5,0)</f>
        <v>0.83680555555555547</v>
      </c>
      <c r="C14" s="8">
        <f>TIME(20,20,0)</f>
        <v>0.84722222222222221</v>
      </c>
      <c r="D14" s="8">
        <f>TIME(20,40,0)</f>
        <v>0.86111111111111116</v>
      </c>
      <c r="E14" s="8">
        <f>TIME(20,55,0)</f>
        <v>0.87152777777777779</v>
      </c>
      <c r="F14" s="8">
        <f>TIME(21,5,0)</f>
        <v>0.87847222222222221</v>
      </c>
      <c r="G14" s="9">
        <f t="shared" si="0"/>
        <v>0.82638888888888884</v>
      </c>
      <c r="H14" s="9">
        <f t="shared" si="0"/>
        <v>0.83680555555555558</v>
      </c>
      <c r="I14" s="9">
        <f t="shared" si="0"/>
        <v>0.85069444444444453</v>
      </c>
      <c r="J14" s="9">
        <f t="shared" si="0"/>
        <v>0.86111111111111116</v>
      </c>
      <c r="K14" s="27">
        <f t="shared" si="0"/>
        <v>0.86805555555555558</v>
      </c>
      <c r="L14" s="26">
        <f t="shared" si="0"/>
        <v>0.81597222222222221</v>
      </c>
      <c r="M14" s="10">
        <f t="shared" si="1"/>
        <v>0.82638888888888895</v>
      </c>
      <c r="N14" s="10">
        <f t="shared" si="1"/>
        <v>0.8402777777777779</v>
      </c>
      <c r="O14" s="10">
        <f t="shared" si="1"/>
        <v>0.85069444444444453</v>
      </c>
      <c r="P14" s="10">
        <f t="shared" si="1"/>
        <v>0.85763888888888895</v>
      </c>
    </row>
    <row r="15" spans="1:16" x14ac:dyDescent="0.3">
      <c r="A15" s="7">
        <v>14</v>
      </c>
      <c r="B15" s="8">
        <f>TIME(21,40,0)</f>
        <v>0.90277777777777779</v>
      </c>
      <c r="C15" s="8">
        <f>TIME(22,5,0)</f>
        <v>0.92013888888888884</v>
      </c>
      <c r="D15" s="8">
        <f>TIME(22,25,0)</f>
        <v>0.93402777777777779</v>
      </c>
      <c r="E15" s="8">
        <f>TIME(22,25,0)</f>
        <v>0.93402777777777779</v>
      </c>
      <c r="F15" s="8">
        <f>TIME(22,35,0)</f>
        <v>0.94097222222222221</v>
      </c>
      <c r="G15" s="9">
        <f t="shared" si="0"/>
        <v>0.89236111111111116</v>
      </c>
      <c r="H15" s="9">
        <f t="shared" si="0"/>
        <v>0.90972222222222221</v>
      </c>
      <c r="I15" s="9">
        <f t="shared" si="0"/>
        <v>0.92361111111111116</v>
      </c>
      <c r="J15" s="9">
        <f t="shared" si="0"/>
        <v>0.92361111111111116</v>
      </c>
      <c r="K15" s="27">
        <f t="shared" si="0"/>
        <v>0.93055555555555558</v>
      </c>
      <c r="L15" s="26">
        <f t="shared" si="0"/>
        <v>0.88194444444444453</v>
      </c>
      <c r="M15" s="10">
        <f t="shared" si="1"/>
        <v>0.89930555555555558</v>
      </c>
      <c r="N15" s="10">
        <f t="shared" si="1"/>
        <v>0.91319444444444453</v>
      </c>
      <c r="O15" s="10">
        <f t="shared" si="1"/>
        <v>0.91319444444444453</v>
      </c>
      <c r="P15" s="10">
        <f t="shared" si="1"/>
        <v>0.92013888888888895</v>
      </c>
    </row>
    <row r="16" spans="1:16" x14ac:dyDescent="0.3">
      <c r="A16" s="7">
        <v>15</v>
      </c>
      <c r="B16" s="8">
        <f>TIME(22,55,0)</f>
        <v>0.95486111111111116</v>
      </c>
      <c r="C16" s="8">
        <f>TIME(23,10,0)</f>
        <v>0.96527777777777779</v>
      </c>
      <c r="D16" s="8">
        <f>TIME(23,10,0)</f>
        <v>0.96527777777777779</v>
      </c>
      <c r="E16" s="8">
        <f>TIME(23,10,0)</f>
        <v>0.96527777777777779</v>
      </c>
      <c r="F16" s="8">
        <f>TIME(23,25,0)</f>
        <v>0.97569444444444453</v>
      </c>
      <c r="G16" s="9">
        <f t="shared" si="0"/>
        <v>0.94444444444444453</v>
      </c>
      <c r="H16" s="9">
        <f t="shared" si="0"/>
        <v>0.95486111111111116</v>
      </c>
      <c r="I16" s="9">
        <f t="shared" si="0"/>
        <v>0.95486111111111116</v>
      </c>
      <c r="J16" s="9">
        <f t="shared" si="0"/>
        <v>0.95486111111111116</v>
      </c>
      <c r="K16" s="27">
        <f t="shared" si="0"/>
        <v>0.9652777777777779</v>
      </c>
      <c r="L16" s="26">
        <f t="shared" si="0"/>
        <v>0.9340277777777779</v>
      </c>
      <c r="M16" s="10">
        <f t="shared" si="1"/>
        <v>0.94444444444444453</v>
      </c>
      <c r="N16" s="10">
        <f t="shared" si="1"/>
        <v>0.94444444444444453</v>
      </c>
      <c r="O16" s="10">
        <f t="shared" si="1"/>
        <v>0.94444444444444453</v>
      </c>
      <c r="P16" s="10">
        <f t="shared" si="1"/>
        <v>0.95486111111111127</v>
      </c>
    </row>
    <row r="20" spans="1:10" x14ac:dyDescent="0.3">
      <c r="E20" s="88" t="s">
        <v>27</v>
      </c>
      <c r="F20" s="80"/>
    </row>
    <row r="21" spans="1:10" x14ac:dyDescent="0.3">
      <c r="A21" s="84" t="s">
        <v>0</v>
      </c>
      <c r="B21" s="85" t="s">
        <v>34</v>
      </c>
      <c r="C21" s="85" t="s">
        <v>35</v>
      </c>
      <c r="D21" s="85" t="s">
        <v>36</v>
      </c>
      <c r="E21" s="86" t="s">
        <v>36</v>
      </c>
      <c r="F21" s="86" t="s">
        <v>35</v>
      </c>
      <c r="G21" s="86" t="s">
        <v>34</v>
      </c>
      <c r="H21" s="87" t="s">
        <v>0</v>
      </c>
      <c r="I21" s="37" t="s">
        <v>12</v>
      </c>
      <c r="J21" s="37" t="s">
        <v>13</v>
      </c>
    </row>
    <row r="22" spans="1:10" x14ac:dyDescent="0.3">
      <c r="A22" s="81">
        <f>TIME(5,24,0)</f>
        <v>0.22500000000000001</v>
      </c>
      <c r="B22" s="81">
        <f t="shared" ref="B22:B27" si="2">A22+TIME(0,6,0)</f>
        <v>0.22916666666666669</v>
      </c>
      <c r="C22" s="81">
        <f t="shared" ref="C22:C27" si="3">B22+TIME(0,36,0)</f>
        <v>0.25416666666666671</v>
      </c>
      <c r="D22" s="81">
        <f t="shared" ref="D22:D27" si="4">C22+TIME(0,23,0)</f>
        <v>0.27013888888888893</v>
      </c>
      <c r="E22" s="82">
        <f t="shared" ref="E22:E27" si="5">D22+TIME(0,10,0)</f>
        <v>0.27708333333333335</v>
      </c>
      <c r="F22" s="82">
        <f t="shared" ref="F22:F27" si="6">E22+TIME(0,23,0)</f>
        <v>0.29305555555555557</v>
      </c>
      <c r="G22" s="82">
        <f t="shared" ref="G22:G27" si="7">F22+TIME(0,36,0)</f>
        <v>0.31805555555555559</v>
      </c>
      <c r="H22" s="83">
        <f t="shared" ref="H22:H27" si="8">G22+TIME(0,6,0)</f>
        <v>0.32222222222222224</v>
      </c>
      <c r="I22" s="37">
        <v>1</v>
      </c>
      <c r="J22" s="37">
        <v>3</v>
      </c>
    </row>
    <row r="23" spans="1:10" x14ac:dyDescent="0.3">
      <c r="A23" s="81">
        <f t="shared" ref="A23:A27" si="9">A22+TIME(0,150,0)</f>
        <v>0.32916666666666666</v>
      </c>
      <c r="B23" s="81">
        <f t="shared" si="2"/>
        <v>0.33333333333333331</v>
      </c>
      <c r="C23" s="81">
        <f t="shared" si="3"/>
        <v>0.35833333333333334</v>
      </c>
      <c r="D23" s="81">
        <f t="shared" si="4"/>
        <v>0.37430555555555556</v>
      </c>
      <c r="E23" s="82">
        <f t="shared" si="5"/>
        <v>0.38124999999999998</v>
      </c>
      <c r="F23" s="82">
        <f t="shared" si="6"/>
        <v>0.3972222222222222</v>
      </c>
      <c r="G23" s="82">
        <f t="shared" si="7"/>
        <v>0.42222222222222222</v>
      </c>
      <c r="H23" s="83">
        <f t="shared" si="8"/>
        <v>0.42638888888888887</v>
      </c>
      <c r="I23" s="37">
        <v>1</v>
      </c>
      <c r="J23" s="37">
        <v>5</v>
      </c>
    </row>
    <row r="24" spans="1:10" x14ac:dyDescent="0.3">
      <c r="A24" s="81">
        <f t="shared" si="9"/>
        <v>0.43333333333333335</v>
      </c>
      <c r="B24" s="81">
        <f t="shared" si="2"/>
        <v>0.4375</v>
      </c>
      <c r="C24" s="81">
        <f t="shared" si="3"/>
        <v>0.46250000000000002</v>
      </c>
      <c r="D24" s="81">
        <f t="shared" si="4"/>
        <v>0.47847222222222224</v>
      </c>
      <c r="E24" s="82">
        <f t="shared" si="5"/>
        <v>0.48541666666666666</v>
      </c>
      <c r="F24" s="82">
        <f t="shared" si="6"/>
        <v>0.50138888888888888</v>
      </c>
      <c r="G24" s="82">
        <f t="shared" si="7"/>
        <v>0.52638888888888891</v>
      </c>
      <c r="H24" s="83">
        <f t="shared" si="8"/>
        <v>0.53055555555555556</v>
      </c>
      <c r="I24" s="37">
        <v>1</v>
      </c>
      <c r="J24" s="37">
        <v>7</v>
      </c>
    </row>
    <row r="25" spans="1:10" x14ac:dyDescent="0.3">
      <c r="A25" s="81">
        <f t="shared" si="9"/>
        <v>0.53749999999999998</v>
      </c>
      <c r="B25" s="81">
        <f t="shared" si="2"/>
        <v>0.54166666666666663</v>
      </c>
      <c r="C25" s="81">
        <f t="shared" si="3"/>
        <v>0.56666666666666665</v>
      </c>
      <c r="D25" s="81">
        <f t="shared" si="4"/>
        <v>0.58263888888888893</v>
      </c>
      <c r="E25" s="82">
        <f t="shared" si="5"/>
        <v>0.58958333333333335</v>
      </c>
      <c r="F25" s="82">
        <f t="shared" si="6"/>
        <v>0.60555555555555562</v>
      </c>
      <c r="G25" s="82">
        <f t="shared" si="7"/>
        <v>0.63055555555555565</v>
      </c>
      <c r="H25" s="83">
        <f t="shared" si="8"/>
        <v>0.6347222222222223</v>
      </c>
      <c r="I25" s="37">
        <v>1</v>
      </c>
      <c r="J25" s="37">
        <v>9</v>
      </c>
    </row>
    <row r="26" spans="1:10" x14ac:dyDescent="0.3">
      <c r="A26" s="81">
        <f t="shared" si="9"/>
        <v>0.64166666666666661</v>
      </c>
      <c r="B26" s="81">
        <f t="shared" si="2"/>
        <v>0.64583333333333326</v>
      </c>
      <c r="C26" s="81">
        <f t="shared" si="3"/>
        <v>0.67083333333333328</v>
      </c>
      <c r="D26" s="81">
        <f t="shared" si="4"/>
        <v>0.68680555555555556</v>
      </c>
      <c r="E26" s="82">
        <f t="shared" si="5"/>
        <v>0.69374999999999998</v>
      </c>
      <c r="F26" s="82">
        <f t="shared" si="6"/>
        <v>0.70972222222222225</v>
      </c>
      <c r="G26" s="82">
        <f t="shared" si="7"/>
        <v>0.73472222222222228</v>
      </c>
      <c r="H26" s="83">
        <f t="shared" si="8"/>
        <v>0.73888888888888893</v>
      </c>
      <c r="I26" s="37">
        <v>1</v>
      </c>
      <c r="J26" s="37">
        <v>11</v>
      </c>
    </row>
    <row r="27" spans="1:10" x14ac:dyDescent="0.3">
      <c r="A27" s="81">
        <f t="shared" si="9"/>
        <v>0.74583333333333324</v>
      </c>
      <c r="B27" s="81">
        <f t="shared" si="2"/>
        <v>0.74999999999999989</v>
      </c>
      <c r="C27" s="81">
        <f t="shared" si="3"/>
        <v>0.77499999999999991</v>
      </c>
      <c r="D27" s="81">
        <f t="shared" si="4"/>
        <v>0.79097222222222219</v>
      </c>
      <c r="E27" s="82">
        <f t="shared" si="5"/>
        <v>0.79791666666666661</v>
      </c>
      <c r="F27" s="82">
        <f t="shared" si="6"/>
        <v>0.81388888888888888</v>
      </c>
      <c r="G27" s="82">
        <f t="shared" si="7"/>
        <v>0.83888888888888891</v>
      </c>
      <c r="H27" s="83">
        <f t="shared" si="8"/>
        <v>0.84305555555555556</v>
      </c>
      <c r="I27" s="37">
        <v>1</v>
      </c>
      <c r="J27" s="37">
        <v>13</v>
      </c>
    </row>
    <row r="28" spans="1:10" x14ac:dyDescent="0.3">
      <c r="A28" s="79"/>
      <c r="B28" s="79"/>
      <c r="C28" s="79"/>
      <c r="D28" s="79"/>
      <c r="E28" s="79"/>
      <c r="F28" s="79"/>
      <c r="G28" s="79"/>
      <c r="H28" s="79"/>
      <c r="I28" s="53">
        <f>SUM(I22:I27)</f>
        <v>6</v>
      </c>
    </row>
    <row r="29" spans="1:10" x14ac:dyDescent="0.3">
      <c r="A29" s="79"/>
      <c r="B29" s="79"/>
      <c r="C29" s="79"/>
      <c r="D29" s="79"/>
      <c r="E29" s="79"/>
      <c r="F29" s="79"/>
      <c r="G29" s="79"/>
      <c r="H29" s="79"/>
    </row>
    <row r="30" spans="1:10" x14ac:dyDescent="0.3">
      <c r="A30" s="79"/>
      <c r="B30" s="79"/>
      <c r="C30" s="79"/>
      <c r="D30" s="79"/>
      <c r="E30" s="79"/>
      <c r="F30" s="79"/>
      <c r="G30" s="79"/>
      <c r="H30" s="79"/>
    </row>
  </sheetData>
  <mergeCells count="2">
    <mergeCell ref="G1:K1"/>
    <mergeCell ref="L1:P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30C1D-353D-42F3-944C-D43389EE9CE6}">
  <sheetPr codeName="Sheet6"/>
  <dimension ref="A1:DH67"/>
  <sheetViews>
    <sheetView topLeftCell="A19" zoomScale="47" workbookViewId="0">
      <selection activeCell="P66" sqref="P66"/>
    </sheetView>
  </sheetViews>
  <sheetFormatPr defaultRowHeight="14.4" x14ac:dyDescent="0.3"/>
  <cols>
    <col min="1" max="61" width="12.77734375" customWidth="1"/>
  </cols>
  <sheetData>
    <row r="1" spans="1:19" x14ac:dyDescent="0.3">
      <c r="A1" s="5" t="s">
        <v>5</v>
      </c>
      <c r="B1" s="6" t="s">
        <v>6</v>
      </c>
      <c r="C1" s="6" t="s">
        <v>10</v>
      </c>
      <c r="D1" s="6" t="s">
        <v>10</v>
      </c>
      <c r="E1" s="6" t="s">
        <v>10</v>
      </c>
      <c r="F1" s="6" t="s">
        <v>7</v>
      </c>
      <c r="G1" s="30" t="s">
        <v>8</v>
      </c>
      <c r="H1" s="30"/>
      <c r="I1" s="30"/>
      <c r="J1" s="30"/>
      <c r="K1" s="30"/>
      <c r="L1" s="31" t="s">
        <v>9</v>
      </c>
      <c r="M1" s="31"/>
      <c r="N1" s="31"/>
      <c r="O1" s="31"/>
      <c r="P1" s="31"/>
    </row>
    <row r="2" spans="1:19" x14ac:dyDescent="0.3">
      <c r="A2" s="7">
        <v>1</v>
      </c>
      <c r="B2" s="8">
        <f>TIME(4,50,0)</f>
        <v>0.20138888888888887</v>
      </c>
      <c r="C2" s="8">
        <f>TIME(5,5,0)</f>
        <v>0.21180555555555555</v>
      </c>
      <c r="D2" s="8">
        <f>TIME(5,25,0)</f>
        <v>0.22569444444444445</v>
      </c>
      <c r="E2" s="8">
        <f>TIME(5,25,0)</f>
        <v>0.22569444444444445</v>
      </c>
      <c r="F2" s="8">
        <f>TIME(5,38,0)</f>
        <v>0.23472222222222219</v>
      </c>
      <c r="G2" s="9">
        <f t="shared" ref="G2:L16" si="0">B2-TIME(0,15,0)</f>
        <v>0.19097222222222221</v>
      </c>
      <c r="H2" s="9">
        <f t="shared" si="0"/>
        <v>0.2013888888888889</v>
      </c>
      <c r="I2" s="9">
        <f t="shared" si="0"/>
        <v>0.21527777777777779</v>
      </c>
      <c r="J2" s="9">
        <f t="shared" si="0"/>
        <v>0.21527777777777779</v>
      </c>
      <c r="K2" s="27">
        <f>F2-TIME(0,15,0)</f>
        <v>0.22430555555555554</v>
      </c>
      <c r="L2" s="26">
        <f>G2-TIME(0,15,0)</f>
        <v>0.18055555555555555</v>
      </c>
      <c r="M2" s="10">
        <f t="shared" ref="M2:P16" si="1">H2-TIME(0,15,0)</f>
        <v>0.19097222222222224</v>
      </c>
      <c r="N2" s="10">
        <f t="shared" si="1"/>
        <v>0.20486111111111113</v>
      </c>
      <c r="O2" s="10">
        <f>J2-TIME(0,15,0)</f>
        <v>0.20486111111111113</v>
      </c>
      <c r="P2" s="10">
        <f>K2-TIME(0,15,0)</f>
        <v>0.21388888888888888</v>
      </c>
      <c r="Q2" s="61"/>
    </row>
    <row r="3" spans="1:19" x14ac:dyDescent="0.3">
      <c r="A3" s="7">
        <v>2</v>
      </c>
      <c r="B3" s="8">
        <f>TIME(6,0,0)</f>
        <v>0.25</v>
      </c>
      <c r="C3" s="8">
        <f>TIME(6,30,0)</f>
        <v>0.27083333333333331</v>
      </c>
      <c r="D3" s="8">
        <f>TIME(6,35,0)</f>
        <v>0.27430555555555552</v>
      </c>
      <c r="E3" s="8">
        <f>TIME(6,40,0)</f>
        <v>0.27777777777777779</v>
      </c>
      <c r="F3" s="8">
        <f>TIME(7,0,0)</f>
        <v>0.29166666666666669</v>
      </c>
      <c r="G3" s="9">
        <f t="shared" si="0"/>
        <v>0.23958333333333334</v>
      </c>
      <c r="H3" s="9">
        <f t="shared" si="0"/>
        <v>0.26041666666666663</v>
      </c>
      <c r="I3" s="9">
        <f t="shared" si="0"/>
        <v>0.26388888888888884</v>
      </c>
      <c r="J3" s="9">
        <f t="shared" si="0"/>
        <v>0.2673611111111111</v>
      </c>
      <c r="K3" s="27">
        <f t="shared" si="0"/>
        <v>0.28125</v>
      </c>
      <c r="L3" s="26">
        <f t="shared" si="0"/>
        <v>0.22916666666666669</v>
      </c>
      <c r="M3" s="10">
        <f t="shared" si="1"/>
        <v>0.24999999999999997</v>
      </c>
      <c r="N3" s="10">
        <f t="shared" si="1"/>
        <v>0.25347222222222215</v>
      </c>
      <c r="O3" s="10">
        <f t="shared" si="1"/>
        <v>0.25694444444444442</v>
      </c>
      <c r="P3" s="10">
        <f t="shared" si="1"/>
        <v>0.27083333333333331</v>
      </c>
      <c r="Q3" s="61"/>
    </row>
    <row r="4" spans="1:19" x14ac:dyDescent="0.3">
      <c r="A4" s="7">
        <v>3</v>
      </c>
      <c r="B4" s="8">
        <f>TIME(7,15,0)</f>
        <v>0.30208333333333331</v>
      </c>
      <c r="C4" s="8">
        <f>TIME(7,15,0)</f>
        <v>0.30208333333333331</v>
      </c>
      <c r="D4" s="8">
        <f>TIME(7,35,0)</f>
        <v>0.31597222222222221</v>
      </c>
      <c r="E4" s="8">
        <f>TIME(7,55,0)</f>
        <v>0.3298611111111111</v>
      </c>
      <c r="F4" s="8">
        <f>TIME(8,10,0)</f>
        <v>0.34027777777777773</v>
      </c>
      <c r="G4" s="9">
        <f t="shared" si="0"/>
        <v>0.29166666666666663</v>
      </c>
      <c r="H4" s="9">
        <f t="shared" si="0"/>
        <v>0.29166666666666663</v>
      </c>
      <c r="I4" s="9">
        <f t="shared" si="0"/>
        <v>0.30555555555555552</v>
      </c>
      <c r="J4" s="9">
        <f t="shared" si="0"/>
        <v>0.31944444444444442</v>
      </c>
      <c r="K4" s="27">
        <f t="shared" si="0"/>
        <v>0.32986111111111105</v>
      </c>
      <c r="L4" s="26">
        <f t="shared" si="0"/>
        <v>0.28124999999999994</v>
      </c>
      <c r="M4" s="10">
        <f t="shared" si="1"/>
        <v>0.28124999999999994</v>
      </c>
      <c r="N4" s="10">
        <f t="shared" si="1"/>
        <v>0.29513888888888884</v>
      </c>
      <c r="O4" s="10">
        <f t="shared" si="1"/>
        <v>0.30902777777777773</v>
      </c>
      <c r="P4" s="10">
        <f t="shared" si="1"/>
        <v>0.31944444444444436</v>
      </c>
      <c r="Q4" s="61"/>
    </row>
    <row r="5" spans="1:19" x14ac:dyDescent="0.3">
      <c r="A5" s="7">
        <v>4</v>
      </c>
      <c r="B5" s="8">
        <f>TIME(9,0,0)</f>
        <v>0.375</v>
      </c>
      <c r="C5" s="8">
        <f>TIME(9,20,0)</f>
        <v>0.3888888888888889</v>
      </c>
      <c r="D5" s="8">
        <f>TIME(9,30,0)</f>
        <v>0.39583333333333331</v>
      </c>
      <c r="E5" s="8">
        <f>TIME(9,55,0)</f>
        <v>0.41319444444444442</v>
      </c>
      <c r="F5" s="8">
        <f>TIME(10,5,0)</f>
        <v>0.4201388888888889</v>
      </c>
      <c r="G5" s="9">
        <f t="shared" si="0"/>
        <v>0.36458333333333331</v>
      </c>
      <c r="H5" s="9">
        <f t="shared" si="0"/>
        <v>0.37847222222222221</v>
      </c>
      <c r="I5" s="9">
        <f t="shared" si="0"/>
        <v>0.38541666666666663</v>
      </c>
      <c r="J5" s="9">
        <f t="shared" si="0"/>
        <v>0.40277777777777773</v>
      </c>
      <c r="K5" s="27">
        <f t="shared" si="0"/>
        <v>0.40972222222222221</v>
      </c>
      <c r="L5" s="26">
        <f t="shared" si="0"/>
        <v>0.35416666666666663</v>
      </c>
      <c r="M5" s="10">
        <f t="shared" si="1"/>
        <v>0.36805555555555552</v>
      </c>
      <c r="N5" s="10">
        <f t="shared" si="1"/>
        <v>0.37499999999999994</v>
      </c>
      <c r="O5" s="10">
        <f t="shared" si="1"/>
        <v>0.39236111111111105</v>
      </c>
      <c r="P5" s="10">
        <f t="shared" si="1"/>
        <v>0.39930555555555552</v>
      </c>
      <c r="Q5" s="61"/>
    </row>
    <row r="6" spans="1:19" x14ac:dyDescent="0.3">
      <c r="A6" s="7">
        <v>5</v>
      </c>
      <c r="B6" s="8">
        <f>TIME(10,15,0)</f>
        <v>0.42708333333333331</v>
      </c>
      <c r="C6" s="8">
        <f>TIME(10,25,0)</f>
        <v>0.43402777777777773</v>
      </c>
      <c r="D6" s="8">
        <f>TIME(10,35,0)</f>
        <v>0.44097222222222227</v>
      </c>
      <c r="E6" s="8">
        <f>TIME(11,5,0)</f>
        <v>0.46180555555555558</v>
      </c>
      <c r="F6" s="8">
        <f>TIME(11,15,0)</f>
        <v>0.46875</v>
      </c>
      <c r="G6" s="9">
        <f t="shared" si="0"/>
        <v>0.41666666666666663</v>
      </c>
      <c r="H6" s="9">
        <f t="shared" si="0"/>
        <v>0.42361111111111105</v>
      </c>
      <c r="I6" s="9">
        <f t="shared" si="0"/>
        <v>0.43055555555555558</v>
      </c>
      <c r="J6" s="9">
        <f t="shared" si="0"/>
        <v>0.4513888888888889</v>
      </c>
      <c r="K6" s="27">
        <f t="shared" si="0"/>
        <v>0.45833333333333331</v>
      </c>
      <c r="L6" s="26">
        <f t="shared" si="0"/>
        <v>0.40624999999999994</v>
      </c>
      <c r="M6" s="10">
        <f t="shared" si="1"/>
        <v>0.41319444444444436</v>
      </c>
      <c r="N6" s="10">
        <f t="shared" si="1"/>
        <v>0.4201388888888889</v>
      </c>
      <c r="O6" s="10">
        <f t="shared" si="1"/>
        <v>0.44097222222222221</v>
      </c>
      <c r="P6" s="10">
        <f t="shared" si="1"/>
        <v>0.44791666666666663</v>
      </c>
      <c r="Q6" s="61"/>
    </row>
    <row r="7" spans="1:19" x14ac:dyDescent="0.3">
      <c r="A7" s="7">
        <v>6</v>
      </c>
      <c r="B7" s="8">
        <f>TIME(11,20,0)</f>
        <v>0.47222222222222227</v>
      </c>
      <c r="C7" s="8">
        <f>TIME(11,30,0)</f>
        <v>0.47916666666666669</v>
      </c>
      <c r="D7" s="8">
        <f>TIME(11,45,0)</f>
        <v>0.48958333333333331</v>
      </c>
      <c r="E7" s="8">
        <f>TIME(11,55,0)</f>
        <v>0.49652777777777773</v>
      </c>
      <c r="F7" s="8">
        <f>TIME(12,5,5)</f>
        <v>0.50353009259259263</v>
      </c>
      <c r="G7" s="9">
        <f t="shared" si="0"/>
        <v>0.46180555555555558</v>
      </c>
      <c r="H7" s="9">
        <f t="shared" si="0"/>
        <v>0.46875</v>
      </c>
      <c r="I7" s="9">
        <f t="shared" si="0"/>
        <v>0.47916666666666663</v>
      </c>
      <c r="J7" s="9">
        <f t="shared" si="0"/>
        <v>0.48611111111111105</v>
      </c>
      <c r="K7" s="27">
        <f t="shared" si="0"/>
        <v>0.49311342592592594</v>
      </c>
      <c r="L7" s="26">
        <f t="shared" si="0"/>
        <v>0.4513888888888889</v>
      </c>
      <c r="M7" s="10">
        <f t="shared" si="1"/>
        <v>0.45833333333333331</v>
      </c>
      <c r="N7" s="10">
        <f t="shared" si="1"/>
        <v>0.46874999999999994</v>
      </c>
      <c r="O7" s="10">
        <f t="shared" si="1"/>
        <v>0.47569444444444436</v>
      </c>
      <c r="P7" s="10">
        <f t="shared" si="1"/>
        <v>0.48269675925925926</v>
      </c>
      <c r="Q7" s="61"/>
    </row>
    <row r="8" spans="1:19" x14ac:dyDescent="0.3">
      <c r="A8" s="7">
        <v>7</v>
      </c>
      <c r="B8" s="8">
        <f>TIME(12,30,0)</f>
        <v>0.52083333333333337</v>
      </c>
      <c r="C8" s="8">
        <f>TIME(12,35,0)</f>
        <v>0.52430555555555558</v>
      </c>
      <c r="D8" s="8">
        <f>TIME(13,0,0)</f>
        <v>0.54166666666666663</v>
      </c>
      <c r="E8" s="8">
        <f>TIME(13,10,0)</f>
        <v>0.54861111111111105</v>
      </c>
      <c r="F8" s="8">
        <f>TIME(13,35,0)</f>
        <v>0.56597222222222221</v>
      </c>
      <c r="G8" s="9">
        <f t="shared" si="0"/>
        <v>0.51041666666666674</v>
      </c>
      <c r="H8" s="9">
        <f t="shared" si="0"/>
        <v>0.51388888888888895</v>
      </c>
      <c r="I8" s="9">
        <f t="shared" si="0"/>
        <v>0.53125</v>
      </c>
      <c r="J8" s="9">
        <f t="shared" si="0"/>
        <v>0.53819444444444442</v>
      </c>
      <c r="K8" s="27">
        <f t="shared" si="0"/>
        <v>0.55555555555555558</v>
      </c>
      <c r="L8" s="26">
        <f t="shared" si="0"/>
        <v>0.50000000000000011</v>
      </c>
      <c r="M8" s="10">
        <f t="shared" si="1"/>
        <v>0.50347222222222232</v>
      </c>
      <c r="N8" s="10">
        <f t="shared" si="1"/>
        <v>0.52083333333333337</v>
      </c>
      <c r="O8" s="10">
        <f t="shared" si="1"/>
        <v>0.52777777777777779</v>
      </c>
      <c r="P8" s="10">
        <f t="shared" si="1"/>
        <v>0.54513888888888895</v>
      </c>
      <c r="Q8" s="61"/>
    </row>
    <row r="9" spans="1:19" x14ac:dyDescent="0.3">
      <c r="A9" s="7">
        <v>8</v>
      </c>
      <c r="B9" s="8">
        <f>TIME(13,50,0)</f>
        <v>0.57638888888888895</v>
      </c>
      <c r="C9" s="8">
        <f>TIME(13,55,0)</f>
        <v>0.57986111111111105</v>
      </c>
      <c r="D9" s="8">
        <f>TIME(14,5,0)</f>
        <v>0.58680555555555558</v>
      </c>
      <c r="E9" s="8">
        <f>TIME(14,20,0)</f>
        <v>0.59722222222222221</v>
      </c>
      <c r="F9" s="8">
        <f>TIME(14,45,0)</f>
        <v>0.61458333333333337</v>
      </c>
      <c r="G9" s="9">
        <f t="shared" si="0"/>
        <v>0.56597222222222232</v>
      </c>
      <c r="H9" s="9">
        <f t="shared" si="0"/>
        <v>0.56944444444444442</v>
      </c>
      <c r="I9" s="9">
        <f t="shared" si="0"/>
        <v>0.57638888888888895</v>
      </c>
      <c r="J9" s="9">
        <f t="shared" si="0"/>
        <v>0.58680555555555558</v>
      </c>
      <c r="K9" s="27">
        <f t="shared" si="0"/>
        <v>0.60416666666666674</v>
      </c>
      <c r="L9" s="26">
        <f t="shared" si="0"/>
        <v>0.55555555555555569</v>
      </c>
      <c r="M9" s="10">
        <f t="shared" si="1"/>
        <v>0.55902777777777779</v>
      </c>
      <c r="N9" s="10">
        <f t="shared" si="1"/>
        <v>0.56597222222222232</v>
      </c>
      <c r="O9" s="10">
        <f t="shared" si="1"/>
        <v>0.57638888888888895</v>
      </c>
      <c r="P9" s="10">
        <f t="shared" si="1"/>
        <v>0.59375000000000011</v>
      </c>
      <c r="Q9" s="61"/>
    </row>
    <row r="10" spans="1:19" x14ac:dyDescent="0.3">
      <c r="A10" s="7">
        <v>9</v>
      </c>
      <c r="B10" s="8">
        <f>TIME(15,10,0)</f>
        <v>0.63194444444444442</v>
      </c>
      <c r="C10" s="8">
        <f>TIME(15,30,0)</f>
        <v>0.64583333333333337</v>
      </c>
      <c r="D10" s="8">
        <f>TIME(15,50,0)</f>
        <v>0.65972222222222221</v>
      </c>
      <c r="E10" s="8">
        <f>TIME(16,10,0)</f>
        <v>0.67361111111111116</v>
      </c>
      <c r="F10" s="8">
        <f>TIME(16,20,0)</f>
        <v>0.68055555555555547</v>
      </c>
      <c r="G10" s="9">
        <f t="shared" si="0"/>
        <v>0.62152777777777779</v>
      </c>
      <c r="H10" s="9">
        <f t="shared" si="0"/>
        <v>0.63541666666666674</v>
      </c>
      <c r="I10" s="9">
        <f t="shared" si="0"/>
        <v>0.64930555555555558</v>
      </c>
      <c r="J10" s="9">
        <f t="shared" si="0"/>
        <v>0.66319444444444453</v>
      </c>
      <c r="K10" s="27">
        <f t="shared" si="0"/>
        <v>0.67013888888888884</v>
      </c>
      <c r="L10" s="26">
        <f t="shared" si="0"/>
        <v>0.61111111111111116</v>
      </c>
      <c r="M10" s="10">
        <f t="shared" si="1"/>
        <v>0.62500000000000011</v>
      </c>
      <c r="N10" s="10">
        <f t="shared" si="1"/>
        <v>0.63888888888888895</v>
      </c>
      <c r="O10" s="10">
        <f t="shared" si="1"/>
        <v>0.6527777777777779</v>
      </c>
      <c r="P10" s="10">
        <f t="shared" si="1"/>
        <v>0.65972222222222221</v>
      </c>
      <c r="Q10" s="61"/>
    </row>
    <row r="11" spans="1:19" x14ac:dyDescent="0.3">
      <c r="A11" s="7">
        <v>10</v>
      </c>
      <c r="B11" s="8">
        <f>TIME(16,30,0)</f>
        <v>0.6875</v>
      </c>
      <c r="C11" s="8">
        <f>TIME(16,45,0)</f>
        <v>0.69791666666666663</v>
      </c>
      <c r="D11" s="8">
        <f>TIME(16,55,0)</f>
        <v>0.70486111111111116</v>
      </c>
      <c r="E11" s="8">
        <f>TIME(17,0,0)</f>
        <v>0.70833333333333337</v>
      </c>
      <c r="F11" s="8">
        <f>TIME(17,30,0)</f>
        <v>0.72916666666666663</v>
      </c>
      <c r="G11" s="9">
        <f t="shared" si="0"/>
        <v>0.67708333333333337</v>
      </c>
      <c r="H11" s="9">
        <f t="shared" si="0"/>
        <v>0.6875</v>
      </c>
      <c r="I11" s="9">
        <f t="shared" si="0"/>
        <v>0.69444444444444453</v>
      </c>
      <c r="J11" s="9">
        <f t="shared" si="0"/>
        <v>0.69791666666666674</v>
      </c>
      <c r="K11" s="27">
        <f t="shared" si="0"/>
        <v>0.71875</v>
      </c>
      <c r="L11" s="26">
        <f t="shared" si="0"/>
        <v>0.66666666666666674</v>
      </c>
      <c r="M11" s="10">
        <f t="shared" si="1"/>
        <v>0.67708333333333337</v>
      </c>
      <c r="N11" s="10">
        <f t="shared" si="1"/>
        <v>0.6840277777777779</v>
      </c>
      <c r="O11" s="10">
        <f t="shared" si="1"/>
        <v>0.68750000000000011</v>
      </c>
      <c r="P11" s="10">
        <f t="shared" si="1"/>
        <v>0.70833333333333337</v>
      </c>
      <c r="Q11" s="61"/>
    </row>
    <row r="12" spans="1:19" x14ac:dyDescent="0.3">
      <c r="A12" s="7">
        <v>11</v>
      </c>
      <c r="B12" s="8">
        <f>TIME(17,45,0)</f>
        <v>0.73958333333333337</v>
      </c>
      <c r="C12" s="8">
        <f>TIME(18,0,0)</f>
        <v>0.75</v>
      </c>
      <c r="D12" s="8">
        <f>TIME(18,25,0)</f>
        <v>0.76736111111111116</v>
      </c>
      <c r="E12" s="8">
        <f>TIME(18,35,0)</f>
        <v>0.77430555555555547</v>
      </c>
      <c r="F12" s="8">
        <f>TIME(18,50,0)</f>
        <v>0.78472222222222221</v>
      </c>
      <c r="G12" s="9">
        <f t="shared" si="0"/>
        <v>0.72916666666666674</v>
      </c>
      <c r="H12" s="9">
        <f t="shared" si="0"/>
        <v>0.73958333333333337</v>
      </c>
      <c r="I12" s="9">
        <f t="shared" si="0"/>
        <v>0.75694444444444453</v>
      </c>
      <c r="J12" s="9">
        <f t="shared" si="0"/>
        <v>0.76388888888888884</v>
      </c>
      <c r="K12" s="27">
        <f t="shared" si="0"/>
        <v>0.77430555555555558</v>
      </c>
      <c r="L12" s="26">
        <f t="shared" si="0"/>
        <v>0.71875000000000011</v>
      </c>
      <c r="M12" s="10">
        <f t="shared" si="1"/>
        <v>0.72916666666666674</v>
      </c>
      <c r="N12" s="10">
        <f t="shared" si="1"/>
        <v>0.7465277777777779</v>
      </c>
      <c r="O12" s="10">
        <f t="shared" si="1"/>
        <v>0.75347222222222221</v>
      </c>
      <c r="P12" s="10">
        <f t="shared" si="1"/>
        <v>0.76388888888888895</v>
      </c>
      <c r="Q12" s="61"/>
    </row>
    <row r="13" spans="1:19" x14ac:dyDescent="0.3">
      <c r="A13" s="7">
        <v>12</v>
      </c>
      <c r="B13" s="8">
        <f>TIME(19,0,0)</f>
        <v>0.79166666666666663</v>
      </c>
      <c r="C13" s="8">
        <f>TIME(19,5,0)</f>
        <v>0.79513888888888884</v>
      </c>
      <c r="D13" s="8">
        <f>TIME(19,20,0)</f>
        <v>0.80555555555555547</v>
      </c>
      <c r="E13" s="8">
        <f>TIME(19,30,0)</f>
        <v>0.8125</v>
      </c>
      <c r="F13" s="8">
        <f>TIME(19,55,0)</f>
        <v>0.82986111111111116</v>
      </c>
      <c r="G13" s="9">
        <f t="shared" si="0"/>
        <v>0.78125</v>
      </c>
      <c r="H13" s="9">
        <f t="shared" si="0"/>
        <v>0.78472222222222221</v>
      </c>
      <c r="I13" s="9">
        <f t="shared" si="0"/>
        <v>0.79513888888888884</v>
      </c>
      <c r="J13" s="9">
        <f t="shared" si="0"/>
        <v>0.80208333333333337</v>
      </c>
      <c r="K13" s="27">
        <f t="shared" si="0"/>
        <v>0.81944444444444453</v>
      </c>
      <c r="L13" s="26">
        <f t="shared" si="0"/>
        <v>0.77083333333333337</v>
      </c>
      <c r="M13" s="10">
        <f t="shared" si="1"/>
        <v>0.77430555555555558</v>
      </c>
      <c r="N13" s="10">
        <f t="shared" si="1"/>
        <v>0.78472222222222221</v>
      </c>
      <c r="O13" s="10">
        <f t="shared" si="1"/>
        <v>0.79166666666666674</v>
      </c>
      <c r="P13" s="10">
        <f t="shared" si="1"/>
        <v>0.8090277777777779</v>
      </c>
      <c r="Q13" s="61"/>
    </row>
    <row r="14" spans="1:19" ht="15" thickBot="1" x14ac:dyDescent="0.35">
      <c r="A14" s="7">
        <v>13</v>
      </c>
      <c r="B14" s="8">
        <f>TIME(20,5,0)</f>
        <v>0.83680555555555547</v>
      </c>
      <c r="C14" s="8">
        <f>TIME(20,20,0)</f>
        <v>0.84722222222222221</v>
      </c>
      <c r="D14" s="8">
        <f>TIME(20,40,0)</f>
        <v>0.86111111111111116</v>
      </c>
      <c r="E14" s="8">
        <f>TIME(20,55,0)</f>
        <v>0.87152777777777779</v>
      </c>
      <c r="F14" s="8">
        <f>TIME(21,5,0)</f>
        <v>0.87847222222222221</v>
      </c>
      <c r="G14" s="9">
        <f t="shared" si="0"/>
        <v>0.82638888888888884</v>
      </c>
      <c r="H14" s="9">
        <f t="shared" si="0"/>
        <v>0.83680555555555558</v>
      </c>
      <c r="I14" s="9">
        <f t="shared" si="0"/>
        <v>0.85069444444444453</v>
      </c>
      <c r="J14" s="9">
        <f t="shared" si="0"/>
        <v>0.86111111111111116</v>
      </c>
      <c r="K14" s="27">
        <f t="shared" si="0"/>
        <v>0.86805555555555558</v>
      </c>
      <c r="L14" s="26">
        <f t="shared" si="0"/>
        <v>0.81597222222222221</v>
      </c>
      <c r="M14" s="10">
        <f t="shared" si="1"/>
        <v>0.82638888888888895</v>
      </c>
      <c r="N14" s="10">
        <f t="shared" si="1"/>
        <v>0.8402777777777779</v>
      </c>
      <c r="O14" s="10">
        <f t="shared" si="1"/>
        <v>0.85069444444444453</v>
      </c>
      <c r="P14" s="10">
        <f t="shared" si="1"/>
        <v>0.85763888888888895</v>
      </c>
      <c r="Q14" s="61"/>
    </row>
    <row r="15" spans="1:19" x14ac:dyDescent="0.3">
      <c r="A15" s="7">
        <v>14</v>
      </c>
      <c r="B15" s="8">
        <f>TIME(21,40,0)</f>
        <v>0.90277777777777779</v>
      </c>
      <c r="C15" s="8">
        <f>TIME(22,5,0)</f>
        <v>0.92013888888888884</v>
      </c>
      <c r="D15" s="8">
        <f>TIME(22,25,0)</f>
        <v>0.93402777777777779</v>
      </c>
      <c r="E15" s="8">
        <f>TIME(22,25,0)</f>
        <v>0.93402777777777779</v>
      </c>
      <c r="F15" s="8">
        <f>TIME(22,35,0)</f>
        <v>0.94097222222222221</v>
      </c>
      <c r="G15" s="9">
        <f t="shared" si="0"/>
        <v>0.89236111111111116</v>
      </c>
      <c r="H15" s="9">
        <f t="shared" si="0"/>
        <v>0.90972222222222221</v>
      </c>
      <c r="I15" s="9">
        <f t="shared" si="0"/>
        <v>0.92361111111111116</v>
      </c>
      <c r="J15" s="9">
        <f t="shared" si="0"/>
        <v>0.92361111111111116</v>
      </c>
      <c r="K15" s="27">
        <f t="shared" si="0"/>
        <v>0.93055555555555558</v>
      </c>
      <c r="L15" s="26">
        <f t="shared" si="0"/>
        <v>0.88194444444444453</v>
      </c>
      <c r="M15" s="10">
        <f t="shared" si="1"/>
        <v>0.89930555555555558</v>
      </c>
      <c r="N15" s="10">
        <f t="shared" si="1"/>
        <v>0.91319444444444453</v>
      </c>
      <c r="O15" s="10">
        <f t="shared" si="1"/>
        <v>0.91319444444444453</v>
      </c>
      <c r="P15" s="10">
        <f t="shared" si="1"/>
        <v>0.92013888888888895</v>
      </c>
      <c r="Q15" s="61"/>
      <c r="R15" s="115" t="s">
        <v>48</v>
      </c>
      <c r="S15" s="116">
        <f>TIME(0,18,0)</f>
        <v>1.2499999999999999E-2</v>
      </c>
    </row>
    <row r="16" spans="1:19" ht="15" thickBot="1" x14ac:dyDescent="0.35">
      <c r="A16" s="7">
        <v>15</v>
      </c>
      <c r="B16" s="8">
        <f>TIME(22,55,0)</f>
        <v>0.95486111111111116</v>
      </c>
      <c r="C16" s="8">
        <f>TIME(23,10,0)</f>
        <v>0.96527777777777779</v>
      </c>
      <c r="D16" s="8">
        <f>TIME(23,10,0)</f>
        <v>0.96527777777777779</v>
      </c>
      <c r="E16" s="8">
        <f>TIME(23,10,0)</f>
        <v>0.96527777777777779</v>
      </c>
      <c r="F16" s="8">
        <f>TIME(23,25,0)</f>
        <v>0.97569444444444453</v>
      </c>
      <c r="G16" s="9">
        <f t="shared" si="0"/>
        <v>0.94444444444444453</v>
      </c>
      <c r="H16" s="9">
        <f t="shared" si="0"/>
        <v>0.95486111111111116</v>
      </c>
      <c r="I16" s="9">
        <f t="shared" si="0"/>
        <v>0.95486111111111116</v>
      </c>
      <c r="J16" s="9">
        <f t="shared" si="0"/>
        <v>0.95486111111111116</v>
      </c>
      <c r="K16" s="27">
        <f t="shared" si="0"/>
        <v>0.9652777777777779</v>
      </c>
      <c r="L16" s="26">
        <f t="shared" si="0"/>
        <v>0.9340277777777779</v>
      </c>
      <c r="M16" s="10">
        <f t="shared" si="1"/>
        <v>0.94444444444444453</v>
      </c>
      <c r="N16" s="10">
        <f t="shared" si="1"/>
        <v>0.94444444444444453</v>
      </c>
      <c r="O16" s="10">
        <f t="shared" si="1"/>
        <v>0.94444444444444453</v>
      </c>
      <c r="P16" s="10">
        <f t="shared" si="1"/>
        <v>0.95486111111111127</v>
      </c>
      <c r="Q16" s="61"/>
      <c r="R16" s="119" t="s">
        <v>49</v>
      </c>
      <c r="S16" s="120">
        <f>TIME(0,9,0)</f>
        <v>6.2499999999999995E-3</v>
      </c>
    </row>
    <row r="17" spans="1:112" x14ac:dyDescent="0.3">
      <c r="R17" s="68"/>
      <c r="S17" s="68"/>
    </row>
    <row r="18" spans="1:112" x14ac:dyDescent="0.3">
      <c r="M18" s="43"/>
      <c r="N18" s="43"/>
      <c r="O18" s="43"/>
    </row>
    <row r="20" spans="1:112" x14ac:dyDescent="0.3">
      <c r="A20" s="71"/>
      <c r="B20" s="71"/>
      <c r="C20" s="71"/>
      <c r="D20" s="71"/>
      <c r="E20" s="71"/>
      <c r="F20" s="58" t="s">
        <v>27</v>
      </c>
      <c r="G20" s="71"/>
      <c r="H20" s="71"/>
      <c r="I20" s="71"/>
      <c r="J20" s="71"/>
    </row>
    <row r="21" spans="1:112" x14ac:dyDescent="0.3">
      <c r="A21" s="45" t="s">
        <v>0</v>
      </c>
      <c r="B21" s="45" t="s">
        <v>28</v>
      </c>
      <c r="C21" s="45" t="s">
        <v>29</v>
      </c>
      <c r="D21" s="45" t="s">
        <v>30</v>
      </c>
      <c r="E21" s="45" t="s">
        <v>31</v>
      </c>
      <c r="F21" s="73" t="s">
        <v>31</v>
      </c>
      <c r="G21" s="73" t="s">
        <v>32</v>
      </c>
      <c r="H21" s="73" t="s">
        <v>29</v>
      </c>
      <c r="I21" s="73" t="s">
        <v>28</v>
      </c>
      <c r="J21" s="73" t="s">
        <v>0</v>
      </c>
      <c r="K21" s="37" t="s">
        <v>12</v>
      </c>
      <c r="L21" s="37" t="s">
        <v>13</v>
      </c>
      <c r="M21" s="28"/>
      <c r="N21" s="74" t="s">
        <v>26</v>
      </c>
      <c r="O21" s="76"/>
      <c r="P21" s="75"/>
    </row>
    <row r="22" spans="1:112" x14ac:dyDescent="0.3">
      <c r="A22" s="48">
        <f>TIME(5,30,0)</f>
        <v>0.22916666666666666</v>
      </c>
      <c r="B22" s="48">
        <f t="shared" ref="B22:B27" si="2">A22+TIME(0,16,0)</f>
        <v>0.24027777777777776</v>
      </c>
      <c r="C22" s="48">
        <f t="shared" ref="C22:C27" si="3">B22+TIME(0,22,0)</f>
        <v>0.25555555555555554</v>
      </c>
      <c r="D22" s="48">
        <f t="shared" ref="D22:D27" si="4">C22+TIME(0,12,0)</f>
        <v>0.2638888888888889</v>
      </c>
      <c r="E22" s="48">
        <f t="shared" ref="E22:E27" si="5">D22+TIME(0,16,0)</f>
        <v>0.27500000000000002</v>
      </c>
      <c r="F22" s="49">
        <f t="shared" ref="F22:F27" si="6">E22+TIME(0,4,0)</f>
        <v>0.27777777777777779</v>
      </c>
      <c r="G22" s="49">
        <f t="shared" ref="G22:G27" si="7">F22+TIME(0,16,0)</f>
        <v>0.28888888888888892</v>
      </c>
      <c r="H22" s="49">
        <f t="shared" ref="H22:H27" si="8">G22+TIME(0,12,0)</f>
        <v>0.29722222222222228</v>
      </c>
      <c r="I22" s="49">
        <f t="shared" ref="I22:I27" si="9">H22+TIME(0,22,0)</f>
        <v>0.31250000000000006</v>
      </c>
      <c r="J22" s="50">
        <f t="shared" ref="J22:J27" si="10">I22+TIME(0,16,0)</f>
        <v>0.32361111111111118</v>
      </c>
      <c r="K22" s="37">
        <v>1</v>
      </c>
      <c r="L22" s="37">
        <v>3</v>
      </c>
      <c r="M22" s="62"/>
      <c r="N22" s="113">
        <v>0.31111111111111112</v>
      </c>
      <c r="O22" s="37">
        <v>1</v>
      </c>
      <c r="P22" s="37">
        <v>3</v>
      </c>
      <c r="DH22" t="s">
        <v>14</v>
      </c>
    </row>
    <row r="23" spans="1:112" x14ac:dyDescent="0.3">
      <c r="A23" s="48">
        <f t="shared" ref="A23:A27" si="11">A22+TIME(0,144,0)</f>
        <v>0.32916666666666666</v>
      </c>
      <c r="B23" s="48">
        <f t="shared" si="2"/>
        <v>0.34027777777777779</v>
      </c>
      <c r="C23" s="48">
        <f t="shared" si="3"/>
        <v>0.35555555555555557</v>
      </c>
      <c r="D23" s="48">
        <f t="shared" si="4"/>
        <v>0.36388888888888893</v>
      </c>
      <c r="E23" s="48">
        <f t="shared" si="5"/>
        <v>0.37500000000000006</v>
      </c>
      <c r="F23" s="49">
        <f t="shared" si="6"/>
        <v>0.37777777777777782</v>
      </c>
      <c r="G23" s="49">
        <f t="shared" si="7"/>
        <v>0.38888888888888895</v>
      </c>
      <c r="H23" s="49">
        <f t="shared" si="8"/>
        <v>0.39722222222222231</v>
      </c>
      <c r="I23" s="49">
        <f t="shared" si="9"/>
        <v>0.41250000000000009</v>
      </c>
      <c r="J23" s="50">
        <f t="shared" si="10"/>
        <v>0.42361111111111122</v>
      </c>
      <c r="K23" s="37">
        <v>1</v>
      </c>
      <c r="L23" s="37">
        <v>5</v>
      </c>
      <c r="M23" s="62"/>
      <c r="N23" s="113">
        <v>0.41111111111111115</v>
      </c>
      <c r="O23" s="37">
        <v>1</v>
      </c>
      <c r="P23" s="37">
        <v>5</v>
      </c>
      <c r="DH23" t="s">
        <v>14</v>
      </c>
    </row>
    <row r="24" spans="1:112" x14ac:dyDescent="0.3">
      <c r="A24" s="48">
        <f t="shared" si="11"/>
        <v>0.42916666666666664</v>
      </c>
      <c r="B24" s="48">
        <f t="shared" si="2"/>
        <v>0.44027777777777777</v>
      </c>
      <c r="C24" s="48">
        <f t="shared" si="3"/>
        <v>0.45555555555555555</v>
      </c>
      <c r="D24" s="48">
        <f t="shared" si="4"/>
        <v>0.46388888888888891</v>
      </c>
      <c r="E24" s="48">
        <f t="shared" si="5"/>
        <v>0.47500000000000003</v>
      </c>
      <c r="F24" s="49">
        <f t="shared" si="6"/>
        <v>0.4777777777777778</v>
      </c>
      <c r="G24" s="49">
        <f t="shared" si="7"/>
        <v>0.48888888888888893</v>
      </c>
      <c r="H24" s="49">
        <f t="shared" si="8"/>
        <v>0.49722222222222229</v>
      </c>
      <c r="I24" s="49">
        <f t="shared" si="9"/>
        <v>0.51250000000000007</v>
      </c>
      <c r="J24" s="50">
        <f t="shared" si="10"/>
        <v>0.52361111111111114</v>
      </c>
      <c r="K24" s="37">
        <v>1</v>
      </c>
      <c r="L24" s="37">
        <v>7</v>
      </c>
      <c r="M24" s="62"/>
      <c r="N24" s="113">
        <v>0.51111111111111118</v>
      </c>
      <c r="O24" s="37">
        <v>1</v>
      </c>
      <c r="P24" s="37">
        <v>7</v>
      </c>
      <c r="DH24" t="s">
        <v>14</v>
      </c>
    </row>
    <row r="25" spans="1:112" x14ac:dyDescent="0.3">
      <c r="A25" s="48">
        <f t="shared" si="11"/>
        <v>0.52916666666666667</v>
      </c>
      <c r="B25" s="48">
        <f t="shared" si="2"/>
        <v>0.54027777777777775</v>
      </c>
      <c r="C25" s="48">
        <f t="shared" si="3"/>
        <v>0.55555555555555547</v>
      </c>
      <c r="D25" s="48">
        <f t="shared" si="4"/>
        <v>0.56388888888888877</v>
      </c>
      <c r="E25" s="48">
        <f t="shared" si="5"/>
        <v>0.57499999999999984</v>
      </c>
      <c r="F25" s="49">
        <f t="shared" si="6"/>
        <v>0.57777777777777761</v>
      </c>
      <c r="G25" s="49">
        <f t="shared" si="7"/>
        <v>0.58888888888888868</v>
      </c>
      <c r="H25" s="49">
        <f t="shared" si="8"/>
        <v>0.59722222222222199</v>
      </c>
      <c r="I25" s="49">
        <f t="shared" si="9"/>
        <v>0.61249999999999971</v>
      </c>
      <c r="J25" s="50">
        <f t="shared" si="10"/>
        <v>0.62361111111111078</v>
      </c>
      <c r="K25" s="37">
        <v>1</v>
      </c>
      <c r="L25" s="37">
        <v>9</v>
      </c>
      <c r="M25" s="62"/>
      <c r="N25" s="113">
        <v>0.61111111111111105</v>
      </c>
      <c r="O25" s="37">
        <v>0</v>
      </c>
      <c r="P25" s="37" t="s">
        <v>14</v>
      </c>
      <c r="DH25" t="s">
        <v>14</v>
      </c>
    </row>
    <row r="26" spans="1:112" x14ac:dyDescent="0.3">
      <c r="A26" s="48">
        <f t="shared" si="11"/>
        <v>0.62916666666666665</v>
      </c>
      <c r="B26" s="48">
        <f t="shared" si="2"/>
        <v>0.64027777777777772</v>
      </c>
      <c r="C26" s="48">
        <f t="shared" si="3"/>
        <v>0.65555555555555545</v>
      </c>
      <c r="D26" s="48">
        <f t="shared" si="4"/>
        <v>0.66388888888888875</v>
      </c>
      <c r="E26" s="48">
        <f t="shared" si="5"/>
        <v>0.67499999999999982</v>
      </c>
      <c r="F26" s="49">
        <f t="shared" si="6"/>
        <v>0.67777777777777759</v>
      </c>
      <c r="G26" s="49">
        <f t="shared" si="7"/>
        <v>0.68888888888888866</v>
      </c>
      <c r="H26" s="49">
        <f t="shared" si="8"/>
        <v>0.69722222222222197</v>
      </c>
      <c r="I26" s="49">
        <f t="shared" si="9"/>
        <v>0.71249999999999969</v>
      </c>
      <c r="J26" s="50">
        <f t="shared" si="10"/>
        <v>0.72361111111111076</v>
      </c>
      <c r="K26" s="37">
        <v>1</v>
      </c>
      <c r="L26" s="37">
        <v>11</v>
      </c>
      <c r="M26" s="62"/>
      <c r="N26" s="113">
        <v>0.71111111111111114</v>
      </c>
      <c r="O26" s="37">
        <v>1</v>
      </c>
      <c r="P26" s="37">
        <v>10</v>
      </c>
      <c r="DH26" t="s">
        <v>14</v>
      </c>
    </row>
    <row r="27" spans="1:112" x14ac:dyDescent="0.3">
      <c r="A27" s="48">
        <f t="shared" si="11"/>
        <v>0.72916666666666663</v>
      </c>
      <c r="B27" s="48">
        <f t="shared" si="2"/>
        <v>0.7402777777777777</v>
      </c>
      <c r="C27" s="48">
        <f t="shared" si="3"/>
        <v>0.75555555555555542</v>
      </c>
      <c r="D27" s="48">
        <f t="shared" si="4"/>
        <v>0.76388888888888873</v>
      </c>
      <c r="E27" s="48">
        <f t="shared" si="5"/>
        <v>0.7749999999999998</v>
      </c>
      <c r="F27" s="49">
        <f t="shared" si="6"/>
        <v>0.77777777777777757</v>
      </c>
      <c r="G27" s="49">
        <f t="shared" si="7"/>
        <v>0.78888888888888864</v>
      </c>
      <c r="H27" s="49">
        <f t="shared" si="8"/>
        <v>0.79722222222222194</v>
      </c>
      <c r="I27" s="49">
        <f t="shared" si="9"/>
        <v>0.81249999999999967</v>
      </c>
      <c r="J27" s="50">
        <f t="shared" si="10"/>
        <v>0.82361111111111074</v>
      </c>
      <c r="K27" s="37">
        <v>1</v>
      </c>
      <c r="L27" s="37">
        <v>13</v>
      </c>
      <c r="M27" s="62"/>
      <c r="N27" s="113">
        <v>0.81111111111111101</v>
      </c>
      <c r="O27" s="37">
        <v>1</v>
      </c>
      <c r="P27" s="37">
        <v>12</v>
      </c>
      <c r="DH27" t="s">
        <v>14</v>
      </c>
    </row>
    <row r="28" spans="1:112" x14ac:dyDescent="0.3">
      <c r="A28" s="52"/>
      <c r="B28" s="52"/>
      <c r="C28" s="52"/>
      <c r="D28" s="52"/>
      <c r="E28" s="52"/>
      <c r="F28" s="52"/>
      <c r="G28" s="52"/>
      <c r="H28" s="52"/>
      <c r="I28" s="52"/>
      <c r="J28" s="52"/>
      <c r="M28" s="62"/>
    </row>
    <row r="29" spans="1:112" x14ac:dyDescent="0.3">
      <c r="A29" s="52"/>
      <c r="B29" s="52"/>
      <c r="C29" s="52"/>
      <c r="D29" s="52"/>
      <c r="E29" s="52"/>
      <c r="F29" s="52"/>
      <c r="G29" s="52"/>
      <c r="H29" s="52"/>
      <c r="I29" s="52"/>
      <c r="J29" s="52"/>
      <c r="M29" s="62"/>
    </row>
    <row r="30" spans="1:112" x14ac:dyDescent="0.3">
      <c r="A30" s="52"/>
      <c r="B30" s="52"/>
      <c r="C30" s="52"/>
      <c r="D30" s="52"/>
      <c r="E30" s="52"/>
      <c r="F30" s="60" t="s">
        <v>21</v>
      </c>
      <c r="G30" s="52"/>
      <c r="H30" s="52"/>
      <c r="I30" s="52"/>
      <c r="J30" s="52"/>
      <c r="M30" s="62"/>
    </row>
    <row r="31" spans="1:112" x14ac:dyDescent="0.3">
      <c r="A31" s="45" t="s">
        <v>0</v>
      </c>
      <c r="B31" s="45" t="s">
        <v>28</v>
      </c>
      <c r="C31" s="45" t="s">
        <v>29</v>
      </c>
      <c r="D31" s="45" t="s">
        <v>30</v>
      </c>
      <c r="E31" s="45" t="s">
        <v>31</v>
      </c>
      <c r="F31" s="73" t="s">
        <v>31</v>
      </c>
      <c r="G31" s="73" t="s">
        <v>32</v>
      </c>
      <c r="H31" s="73" t="s">
        <v>29</v>
      </c>
      <c r="I31" s="73" t="s">
        <v>28</v>
      </c>
      <c r="J31" s="73" t="s">
        <v>0</v>
      </c>
      <c r="K31" s="37" t="s">
        <v>12</v>
      </c>
      <c r="L31" s="37" t="s">
        <v>13</v>
      </c>
      <c r="M31" s="66" t="s">
        <v>25</v>
      </c>
      <c r="N31" s="74" t="s">
        <v>26</v>
      </c>
      <c r="O31" s="76"/>
      <c r="P31" s="75"/>
      <c r="Q31" s="37" t="s">
        <v>46</v>
      </c>
      <c r="R31" s="64" t="s">
        <v>47</v>
      </c>
      <c r="S31" s="64"/>
      <c r="T31" s="64"/>
    </row>
    <row r="32" spans="1:112" x14ac:dyDescent="0.3">
      <c r="A32" s="48">
        <f>A22+TIME(0,36,0)</f>
        <v>0.25416666666666665</v>
      </c>
      <c r="B32" s="48">
        <f t="shared" ref="B32:B37" si="12">A32+TIME(0,16,0)</f>
        <v>0.26527777777777778</v>
      </c>
      <c r="C32" s="48">
        <f t="shared" ref="C32:C37" si="13">B32+TIME(0,22,0)</f>
        <v>0.28055555555555556</v>
      </c>
      <c r="D32" s="48">
        <f t="shared" ref="D32:D37" si="14">C32+TIME(0,12,0)</f>
        <v>0.28888888888888892</v>
      </c>
      <c r="E32" s="48">
        <f t="shared" ref="E32:E37" si="15">D32+TIME(0,16,0)</f>
        <v>0.30000000000000004</v>
      </c>
      <c r="F32" s="49">
        <f t="shared" ref="F32:F37" si="16">E32+TIME(0,4,0)</f>
        <v>0.30277777777777781</v>
      </c>
      <c r="G32" s="49">
        <f t="shared" ref="G32:G37" si="17">F32+TIME(0,16,0)</f>
        <v>0.31388888888888894</v>
      </c>
      <c r="H32" s="49">
        <f t="shared" ref="H32:H37" si="18">G32+TIME(0,12,0)</f>
        <v>0.3222222222222223</v>
      </c>
      <c r="I32" s="49">
        <f t="shared" ref="I32:I37" si="19">H32+TIME(0,22,0)</f>
        <v>0.33750000000000008</v>
      </c>
      <c r="J32" s="50">
        <f t="shared" ref="J32:J37" si="20">I32+TIME(0,16,0)</f>
        <v>0.3486111111111112</v>
      </c>
      <c r="K32" s="37">
        <v>0</v>
      </c>
      <c r="L32" s="37" t="s">
        <v>14</v>
      </c>
      <c r="M32" s="66">
        <v>1.8749999999999999E-2</v>
      </c>
      <c r="N32" s="38">
        <v>0.33611111111111108</v>
      </c>
      <c r="O32" s="37">
        <v>0</v>
      </c>
      <c r="P32" s="37" t="s">
        <v>14</v>
      </c>
      <c r="Q32" s="66">
        <v>6.2499999999999995E-3</v>
      </c>
      <c r="R32" s="113">
        <v>0.3298611111111111</v>
      </c>
      <c r="S32" s="37">
        <v>0</v>
      </c>
      <c r="T32" s="37" t="s">
        <v>14</v>
      </c>
    </row>
    <row r="33" spans="1:20" x14ac:dyDescent="0.3">
      <c r="A33" s="48">
        <f t="shared" ref="A33:A37" si="21">A32+TIME(0,144,0)</f>
        <v>0.35416666666666663</v>
      </c>
      <c r="B33" s="48">
        <f t="shared" si="12"/>
        <v>0.36527777777777776</v>
      </c>
      <c r="C33" s="48">
        <f t="shared" si="13"/>
        <v>0.38055555555555554</v>
      </c>
      <c r="D33" s="48">
        <f t="shared" si="14"/>
        <v>0.3888888888888889</v>
      </c>
      <c r="E33" s="48">
        <f t="shared" si="15"/>
        <v>0.4</v>
      </c>
      <c r="F33" s="49">
        <f t="shared" si="16"/>
        <v>0.40277777777777779</v>
      </c>
      <c r="G33" s="49">
        <f t="shared" si="17"/>
        <v>0.41388888888888892</v>
      </c>
      <c r="H33" s="49">
        <f t="shared" si="18"/>
        <v>0.42222222222222228</v>
      </c>
      <c r="I33" s="49">
        <f t="shared" si="19"/>
        <v>0.43750000000000006</v>
      </c>
      <c r="J33" s="50">
        <f t="shared" si="20"/>
        <v>0.44861111111111118</v>
      </c>
      <c r="K33" s="37">
        <v>1</v>
      </c>
      <c r="L33" s="37">
        <v>5</v>
      </c>
      <c r="M33" s="66"/>
      <c r="N33" s="38">
        <v>0.43611111111111112</v>
      </c>
      <c r="O33" s="37">
        <v>1</v>
      </c>
      <c r="P33" s="37">
        <v>5</v>
      </c>
      <c r="Q33" s="37"/>
      <c r="R33" s="113">
        <v>0.42986111111111114</v>
      </c>
      <c r="S33" s="37">
        <v>1</v>
      </c>
      <c r="T33" s="37">
        <v>5</v>
      </c>
    </row>
    <row r="34" spans="1:20" x14ac:dyDescent="0.3">
      <c r="A34" s="48">
        <f t="shared" si="21"/>
        <v>0.45416666666666661</v>
      </c>
      <c r="B34" s="48">
        <f t="shared" si="12"/>
        <v>0.46527777777777773</v>
      </c>
      <c r="C34" s="48">
        <f t="shared" si="13"/>
        <v>0.48055555555555551</v>
      </c>
      <c r="D34" s="48">
        <f t="shared" si="14"/>
        <v>0.48888888888888887</v>
      </c>
      <c r="E34" s="48">
        <f t="shared" si="15"/>
        <v>0.5</v>
      </c>
      <c r="F34" s="49">
        <f t="shared" si="16"/>
        <v>0.50277777777777777</v>
      </c>
      <c r="G34" s="49">
        <f t="shared" si="17"/>
        <v>0.51388888888888884</v>
      </c>
      <c r="H34" s="49">
        <f t="shared" si="18"/>
        <v>0.52222222222222214</v>
      </c>
      <c r="I34" s="49">
        <f t="shared" si="19"/>
        <v>0.53749999999999987</v>
      </c>
      <c r="J34" s="50">
        <f t="shared" si="20"/>
        <v>0.54861111111111094</v>
      </c>
      <c r="K34" s="37">
        <v>1</v>
      </c>
      <c r="L34" s="37">
        <v>7</v>
      </c>
      <c r="M34" s="66"/>
      <c r="N34" s="38">
        <v>0.53611111111111109</v>
      </c>
      <c r="O34" s="37">
        <v>1</v>
      </c>
      <c r="P34" s="37">
        <v>7</v>
      </c>
      <c r="Q34" s="37"/>
      <c r="R34" s="113">
        <v>0.52986111111111112</v>
      </c>
      <c r="S34" s="37">
        <v>1</v>
      </c>
      <c r="T34" s="37">
        <v>7</v>
      </c>
    </row>
    <row r="35" spans="1:20" x14ac:dyDescent="0.3">
      <c r="A35" s="48">
        <f t="shared" si="21"/>
        <v>0.55416666666666659</v>
      </c>
      <c r="B35" s="48">
        <f t="shared" si="12"/>
        <v>0.56527777777777766</v>
      </c>
      <c r="C35" s="48">
        <f t="shared" si="13"/>
        <v>0.58055555555555538</v>
      </c>
      <c r="D35" s="48">
        <f t="shared" si="14"/>
        <v>0.58888888888888868</v>
      </c>
      <c r="E35" s="48">
        <f t="shared" si="15"/>
        <v>0.59999999999999976</v>
      </c>
      <c r="F35" s="49">
        <f t="shared" si="16"/>
        <v>0.60277777777777752</v>
      </c>
      <c r="G35" s="49">
        <f t="shared" si="17"/>
        <v>0.6138888888888886</v>
      </c>
      <c r="H35" s="49">
        <f t="shared" si="18"/>
        <v>0.6222222222222219</v>
      </c>
      <c r="I35" s="49">
        <f t="shared" si="19"/>
        <v>0.63749999999999962</v>
      </c>
      <c r="J35" s="50">
        <f t="shared" si="20"/>
        <v>0.64861111111111069</v>
      </c>
      <c r="K35" s="37">
        <v>1</v>
      </c>
      <c r="L35" s="37">
        <v>9</v>
      </c>
      <c r="M35" s="66"/>
      <c r="N35" s="38">
        <v>0.63611111111111118</v>
      </c>
      <c r="O35" s="37">
        <v>1</v>
      </c>
      <c r="P35" s="37">
        <v>9</v>
      </c>
      <c r="Q35" s="37"/>
      <c r="R35" s="113">
        <v>0.6298611111111112</v>
      </c>
      <c r="S35" s="37">
        <v>1</v>
      </c>
      <c r="T35" s="37">
        <v>9</v>
      </c>
    </row>
    <row r="36" spans="1:20" x14ac:dyDescent="0.3">
      <c r="A36" s="48">
        <f t="shared" si="21"/>
        <v>0.65416666666666656</v>
      </c>
      <c r="B36" s="48">
        <f t="shared" si="12"/>
        <v>0.66527777777777763</v>
      </c>
      <c r="C36" s="48">
        <f t="shared" si="13"/>
        <v>0.68055555555555536</v>
      </c>
      <c r="D36" s="48">
        <f t="shared" si="14"/>
        <v>0.68888888888888866</v>
      </c>
      <c r="E36" s="48">
        <f t="shared" si="15"/>
        <v>0.69999999999999973</v>
      </c>
      <c r="F36" s="49">
        <f t="shared" si="16"/>
        <v>0.7027777777777775</v>
      </c>
      <c r="G36" s="49">
        <f t="shared" si="17"/>
        <v>0.71388888888888857</v>
      </c>
      <c r="H36" s="49">
        <f t="shared" si="18"/>
        <v>0.72222222222222188</v>
      </c>
      <c r="I36" s="49">
        <f t="shared" si="19"/>
        <v>0.7374999999999996</v>
      </c>
      <c r="J36" s="50">
        <f t="shared" si="20"/>
        <v>0.74861111111111067</v>
      </c>
      <c r="K36" s="37">
        <v>1</v>
      </c>
      <c r="L36" s="37">
        <v>11</v>
      </c>
      <c r="M36" s="66"/>
      <c r="N36" s="38">
        <v>0.73611111111111116</v>
      </c>
      <c r="O36" s="37">
        <v>1</v>
      </c>
      <c r="P36" s="37">
        <v>11</v>
      </c>
      <c r="Q36" s="37"/>
      <c r="R36" s="113">
        <v>0.72986111111111118</v>
      </c>
      <c r="S36" s="37">
        <v>1</v>
      </c>
      <c r="T36" s="37">
        <v>11</v>
      </c>
    </row>
    <row r="37" spans="1:20" x14ac:dyDescent="0.3">
      <c r="A37" s="48">
        <f t="shared" si="21"/>
        <v>0.75416666666666654</v>
      </c>
      <c r="B37" s="48">
        <f t="shared" si="12"/>
        <v>0.76527777777777761</v>
      </c>
      <c r="C37" s="48">
        <f t="shared" si="13"/>
        <v>0.78055555555555534</v>
      </c>
      <c r="D37" s="48">
        <f t="shared" si="14"/>
        <v>0.78888888888888864</v>
      </c>
      <c r="E37" s="48">
        <f t="shared" si="15"/>
        <v>0.79999999999999971</v>
      </c>
      <c r="F37" s="49">
        <f t="shared" si="16"/>
        <v>0.80277777777777748</v>
      </c>
      <c r="G37" s="49">
        <f t="shared" si="17"/>
        <v>0.81388888888888855</v>
      </c>
      <c r="H37" s="49">
        <f t="shared" si="18"/>
        <v>0.82222222222222185</v>
      </c>
      <c r="I37" s="49">
        <f t="shared" si="19"/>
        <v>0.83749999999999958</v>
      </c>
      <c r="J37" s="50">
        <f t="shared" si="20"/>
        <v>0.84861111111111065</v>
      </c>
      <c r="K37" s="37">
        <v>1</v>
      </c>
      <c r="L37" s="37">
        <v>13</v>
      </c>
      <c r="M37" s="66"/>
      <c r="N37" s="38">
        <v>0.83611111111111114</v>
      </c>
      <c r="O37" s="37">
        <v>1</v>
      </c>
      <c r="P37" s="37">
        <v>13</v>
      </c>
      <c r="Q37" s="37"/>
      <c r="R37" s="113">
        <v>0.82986111111111116</v>
      </c>
      <c r="S37" s="37">
        <v>1</v>
      </c>
      <c r="T37" s="37">
        <v>13</v>
      </c>
    </row>
    <row r="38" spans="1:20" x14ac:dyDescent="0.3">
      <c r="A38" s="52"/>
      <c r="B38" s="52"/>
      <c r="C38" s="52"/>
      <c r="D38" s="52"/>
      <c r="E38" s="52"/>
      <c r="F38" s="72"/>
      <c r="G38" s="72"/>
      <c r="H38" s="72"/>
      <c r="I38" s="72"/>
      <c r="J38" s="72"/>
      <c r="M38" s="62"/>
    </row>
    <row r="39" spans="1:20" x14ac:dyDescent="0.3">
      <c r="A39" s="52"/>
      <c r="B39" s="52"/>
      <c r="C39" s="52"/>
      <c r="D39" s="52"/>
      <c r="E39" s="52"/>
      <c r="F39" s="72"/>
      <c r="G39" s="72"/>
      <c r="H39" s="72"/>
      <c r="I39" s="72"/>
      <c r="J39" s="72"/>
      <c r="M39" s="62"/>
    </row>
    <row r="40" spans="1:20" x14ac:dyDescent="0.3">
      <c r="A40" s="52"/>
      <c r="B40" s="52"/>
      <c r="C40" s="52"/>
      <c r="D40" s="52"/>
      <c r="E40" s="52"/>
      <c r="F40" s="60" t="s">
        <v>22</v>
      </c>
      <c r="G40" s="52"/>
      <c r="H40" s="52"/>
      <c r="I40" s="52"/>
      <c r="J40" s="52"/>
      <c r="M40" s="62"/>
    </row>
    <row r="41" spans="1:20" x14ac:dyDescent="0.3">
      <c r="A41" s="45" t="s">
        <v>0</v>
      </c>
      <c r="B41" s="45" t="s">
        <v>28</v>
      </c>
      <c r="C41" s="45" t="s">
        <v>29</v>
      </c>
      <c r="D41" s="45" t="s">
        <v>30</v>
      </c>
      <c r="E41" s="45" t="s">
        <v>31</v>
      </c>
      <c r="F41" s="73" t="s">
        <v>31</v>
      </c>
      <c r="G41" s="73" t="s">
        <v>32</v>
      </c>
      <c r="H41" s="73" t="s">
        <v>29</v>
      </c>
      <c r="I41" s="73" t="s">
        <v>28</v>
      </c>
      <c r="J41" s="124" t="s">
        <v>0</v>
      </c>
      <c r="K41" s="67" t="s">
        <v>12</v>
      </c>
      <c r="L41" s="37" t="s">
        <v>13</v>
      </c>
      <c r="M41" s="66" t="s">
        <v>25</v>
      </c>
      <c r="N41" s="74" t="s">
        <v>26</v>
      </c>
      <c r="O41" s="76"/>
      <c r="P41" s="75"/>
    </row>
    <row r="42" spans="1:20" x14ac:dyDescent="0.3">
      <c r="A42" s="48">
        <f>A32+TIME(0,36,0)</f>
        <v>0.27916666666666667</v>
      </c>
      <c r="B42" s="48">
        <f t="shared" ref="B42:B47" si="22">A42+TIME(0,16,0)</f>
        <v>0.2902777777777778</v>
      </c>
      <c r="C42" s="48">
        <f t="shared" ref="C42:C47" si="23">B42+TIME(0,22,0)</f>
        <v>0.30555555555555558</v>
      </c>
      <c r="D42" s="48">
        <f t="shared" ref="D42:D47" si="24">C42+TIME(0,12,0)</f>
        <v>0.31388888888888894</v>
      </c>
      <c r="E42" s="48">
        <f t="shared" ref="E42:E47" si="25">D42+TIME(0,16,0)</f>
        <v>0.32500000000000007</v>
      </c>
      <c r="F42" s="49">
        <f t="shared" ref="F42:F47" si="26">E42+TIME(0,4,0)</f>
        <v>0.32777777777777783</v>
      </c>
      <c r="G42" s="49">
        <f t="shared" ref="G42:G47" si="27">F42+TIME(0,16,0)</f>
        <v>0.33888888888888896</v>
      </c>
      <c r="H42" s="49">
        <f t="shared" ref="H42:H47" si="28">G42+TIME(0,12,0)</f>
        <v>0.34722222222222232</v>
      </c>
      <c r="I42" s="49">
        <f t="shared" ref="I42:I47" si="29">H42+TIME(0,22,0)</f>
        <v>0.3625000000000001</v>
      </c>
      <c r="J42" s="50">
        <f t="shared" ref="J42:J47" si="30">I42+TIME(0,16,0)</f>
        <v>0.37361111111111123</v>
      </c>
      <c r="K42" s="37">
        <v>1</v>
      </c>
      <c r="L42" s="37">
        <v>4</v>
      </c>
      <c r="M42" s="66"/>
      <c r="N42" s="70">
        <v>0.3611111111111111</v>
      </c>
      <c r="O42" s="37">
        <v>1</v>
      </c>
      <c r="P42" s="37">
        <v>4</v>
      </c>
      <c r="Q42" s="28"/>
    </row>
    <row r="43" spans="1:20" x14ac:dyDescent="0.3">
      <c r="A43" s="48">
        <f t="shared" ref="A43:A47" si="31">A42+TIME(0,144,0)</f>
        <v>0.37916666666666665</v>
      </c>
      <c r="B43" s="48">
        <f t="shared" si="22"/>
        <v>0.39027777777777778</v>
      </c>
      <c r="C43" s="48">
        <f t="shared" si="23"/>
        <v>0.40555555555555556</v>
      </c>
      <c r="D43" s="48">
        <f t="shared" si="24"/>
        <v>0.41388888888888892</v>
      </c>
      <c r="E43" s="48">
        <f t="shared" si="25"/>
        <v>0.42500000000000004</v>
      </c>
      <c r="F43" s="49">
        <f t="shared" si="26"/>
        <v>0.42777777777777781</v>
      </c>
      <c r="G43" s="49">
        <f t="shared" si="27"/>
        <v>0.43888888888888894</v>
      </c>
      <c r="H43" s="49">
        <f t="shared" si="28"/>
        <v>0.4472222222222223</v>
      </c>
      <c r="I43" s="49">
        <f t="shared" si="29"/>
        <v>0.46250000000000008</v>
      </c>
      <c r="J43" s="50">
        <f t="shared" si="30"/>
        <v>0.4736111111111112</v>
      </c>
      <c r="K43" s="37">
        <v>1</v>
      </c>
      <c r="L43" s="37">
        <v>6</v>
      </c>
      <c r="M43" s="66"/>
      <c r="N43" s="70">
        <v>0.46111111111111108</v>
      </c>
      <c r="O43" s="37">
        <v>1</v>
      </c>
      <c r="P43" s="37">
        <v>6</v>
      </c>
      <c r="Q43" s="28"/>
    </row>
    <row r="44" spans="1:20" x14ac:dyDescent="0.3">
      <c r="A44" s="48">
        <f t="shared" si="31"/>
        <v>0.47916666666666663</v>
      </c>
      <c r="B44" s="48">
        <f t="shared" si="22"/>
        <v>0.49027777777777776</v>
      </c>
      <c r="C44" s="48">
        <f t="shared" si="23"/>
        <v>0.50555555555555554</v>
      </c>
      <c r="D44" s="48">
        <f t="shared" si="24"/>
        <v>0.51388888888888884</v>
      </c>
      <c r="E44" s="48">
        <f t="shared" si="25"/>
        <v>0.52499999999999991</v>
      </c>
      <c r="F44" s="49">
        <f t="shared" si="26"/>
        <v>0.52777777777777768</v>
      </c>
      <c r="G44" s="49">
        <f t="shared" si="27"/>
        <v>0.53888888888888875</v>
      </c>
      <c r="H44" s="49">
        <f t="shared" si="28"/>
        <v>0.54722222222222205</v>
      </c>
      <c r="I44" s="49">
        <f t="shared" si="29"/>
        <v>0.56249999999999978</v>
      </c>
      <c r="J44" s="50">
        <f t="shared" si="30"/>
        <v>0.57361111111111085</v>
      </c>
      <c r="K44" s="37">
        <v>1</v>
      </c>
      <c r="L44" s="37">
        <v>8</v>
      </c>
      <c r="M44" s="66"/>
      <c r="N44" s="70">
        <v>0.56111111111111112</v>
      </c>
      <c r="O44" s="37">
        <v>1</v>
      </c>
      <c r="P44" s="37">
        <v>8</v>
      </c>
      <c r="Q44" s="28"/>
    </row>
    <row r="45" spans="1:20" x14ac:dyDescent="0.3">
      <c r="A45" s="48">
        <f t="shared" si="31"/>
        <v>0.57916666666666661</v>
      </c>
      <c r="B45" s="48">
        <f t="shared" si="22"/>
        <v>0.59027777777777768</v>
      </c>
      <c r="C45" s="48">
        <f t="shared" si="23"/>
        <v>0.6055555555555554</v>
      </c>
      <c r="D45" s="48">
        <f t="shared" si="24"/>
        <v>0.61388888888888871</v>
      </c>
      <c r="E45" s="48">
        <f t="shared" si="25"/>
        <v>0.62499999999999978</v>
      </c>
      <c r="F45" s="49">
        <f t="shared" si="26"/>
        <v>0.62777777777777755</v>
      </c>
      <c r="G45" s="49">
        <f t="shared" si="27"/>
        <v>0.63888888888888862</v>
      </c>
      <c r="H45" s="49">
        <f t="shared" si="28"/>
        <v>0.64722222222222192</v>
      </c>
      <c r="I45" s="49">
        <f t="shared" si="29"/>
        <v>0.66249999999999964</v>
      </c>
      <c r="J45" s="50">
        <f t="shared" si="30"/>
        <v>0.67361111111111072</v>
      </c>
      <c r="K45" s="37">
        <v>1</v>
      </c>
      <c r="L45" s="37">
        <v>10</v>
      </c>
      <c r="M45" s="66"/>
      <c r="N45" s="70">
        <v>0.66111111111111109</v>
      </c>
      <c r="O45" s="37">
        <v>1</v>
      </c>
      <c r="P45" s="37">
        <v>9</v>
      </c>
      <c r="Q45" s="28"/>
    </row>
    <row r="46" spans="1:20" x14ac:dyDescent="0.3">
      <c r="A46" s="48">
        <f t="shared" si="31"/>
        <v>0.67916666666666659</v>
      </c>
      <c r="B46" s="48">
        <f t="shared" si="22"/>
        <v>0.69027777777777766</v>
      </c>
      <c r="C46" s="48">
        <f t="shared" si="23"/>
        <v>0.70555555555555538</v>
      </c>
      <c r="D46" s="48">
        <f t="shared" si="24"/>
        <v>0.71388888888888868</v>
      </c>
      <c r="E46" s="48">
        <f t="shared" si="25"/>
        <v>0.72499999999999976</v>
      </c>
      <c r="F46" s="49">
        <f t="shared" si="26"/>
        <v>0.72777777777777752</v>
      </c>
      <c r="G46" s="49">
        <f t="shared" si="27"/>
        <v>0.7388888888888886</v>
      </c>
      <c r="H46" s="49">
        <f t="shared" si="28"/>
        <v>0.7472222222222219</v>
      </c>
      <c r="I46" s="49">
        <f t="shared" si="29"/>
        <v>0.76249999999999962</v>
      </c>
      <c r="J46" s="50">
        <f t="shared" si="30"/>
        <v>0.77361111111111069</v>
      </c>
      <c r="K46" s="37">
        <v>1</v>
      </c>
      <c r="L46" s="37">
        <v>11</v>
      </c>
      <c r="M46" s="66"/>
      <c r="N46" s="70">
        <v>0.76111111111111107</v>
      </c>
      <c r="O46" s="37">
        <v>1</v>
      </c>
      <c r="P46" s="37">
        <v>11</v>
      </c>
      <c r="Q46" s="28"/>
    </row>
    <row r="47" spans="1:20" x14ac:dyDescent="0.3">
      <c r="A47" s="48">
        <f t="shared" si="31"/>
        <v>0.77916666666666656</v>
      </c>
      <c r="B47" s="48">
        <f t="shared" si="22"/>
        <v>0.79027777777777763</v>
      </c>
      <c r="C47" s="48">
        <f t="shared" si="23"/>
        <v>0.80555555555555536</v>
      </c>
      <c r="D47" s="48">
        <f t="shared" si="24"/>
        <v>0.81388888888888866</v>
      </c>
      <c r="E47" s="48">
        <f t="shared" si="25"/>
        <v>0.82499999999999973</v>
      </c>
      <c r="F47" s="49">
        <f t="shared" si="26"/>
        <v>0.8277777777777775</v>
      </c>
      <c r="G47" s="49">
        <f t="shared" si="27"/>
        <v>0.83888888888888857</v>
      </c>
      <c r="H47" s="49">
        <f t="shared" si="28"/>
        <v>0.84722222222222188</v>
      </c>
      <c r="I47" s="49">
        <f t="shared" si="29"/>
        <v>0.8624999999999996</v>
      </c>
      <c r="J47" s="50">
        <f t="shared" si="30"/>
        <v>0.87361111111111067</v>
      </c>
      <c r="K47" s="37">
        <v>0</v>
      </c>
      <c r="L47" s="37" t="s">
        <v>14</v>
      </c>
      <c r="M47" s="66">
        <v>5.5555555555555558E-3</v>
      </c>
      <c r="N47" s="70">
        <v>0.86111111111111116</v>
      </c>
      <c r="O47" s="37">
        <v>1</v>
      </c>
      <c r="P47" s="37">
        <v>13</v>
      </c>
      <c r="Q47" s="28"/>
    </row>
    <row r="48" spans="1:20" x14ac:dyDescent="0.3">
      <c r="A48" s="52"/>
      <c r="B48" s="52"/>
      <c r="C48" s="52"/>
      <c r="D48" s="52"/>
      <c r="E48" s="52"/>
      <c r="F48" s="52"/>
      <c r="G48" s="52"/>
      <c r="H48" s="52"/>
      <c r="I48" s="52"/>
      <c r="J48" s="52"/>
      <c r="M48" s="62"/>
      <c r="N48" s="28"/>
      <c r="O48" s="28"/>
      <c r="P48" s="28"/>
      <c r="Q48" s="28"/>
    </row>
    <row r="49" spans="1:112" x14ac:dyDescent="0.3">
      <c r="A49" s="52"/>
      <c r="B49" s="52"/>
      <c r="C49" s="52"/>
      <c r="D49" s="52"/>
      <c r="E49" s="52"/>
      <c r="F49" s="52"/>
      <c r="G49" s="52"/>
      <c r="H49" s="52"/>
      <c r="I49" s="52"/>
      <c r="J49" s="52"/>
      <c r="M49" s="62"/>
      <c r="N49" s="28"/>
      <c r="O49" s="28"/>
      <c r="P49" s="28"/>
      <c r="Q49" s="28"/>
    </row>
    <row r="50" spans="1:112" x14ac:dyDescent="0.3">
      <c r="A50" s="52"/>
      <c r="B50" s="52"/>
      <c r="C50" s="52"/>
      <c r="D50" s="52"/>
      <c r="E50" s="52"/>
      <c r="F50" s="60" t="s">
        <v>33</v>
      </c>
      <c r="G50" s="52"/>
      <c r="H50" s="52"/>
      <c r="I50" s="52"/>
      <c r="J50" s="52"/>
      <c r="M50" s="62"/>
      <c r="N50" s="28"/>
      <c r="O50" s="28"/>
      <c r="P50" s="28"/>
      <c r="Q50" s="28"/>
    </row>
    <row r="51" spans="1:112" x14ac:dyDescent="0.3">
      <c r="A51" s="45" t="s">
        <v>0</v>
      </c>
      <c r="B51" s="45" t="s">
        <v>28</v>
      </c>
      <c r="C51" s="45" t="s">
        <v>29</v>
      </c>
      <c r="D51" s="45" t="s">
        <v>30</v>
      </c>
      <c r="E51" s="45" t="s">
        <v>31</v>
      </c>
      <c r="F51" s="73" t="s">
        <v>31</v>
      </c>
      <c r="G51" s="73" t="s">
        <v>32</v>
      </c>
      <c r="H51" s="73" t="s">
        <v>29</v>
      </c>
      <c r="I51" s="73" t="s">
        <v>28</v>
      </c>
      <c r="J51" s="73" t="s">
        <v>0</v>
      </c>
      <c r="K51" s="37" t="s">
        <v>12</v>
      </c>
      <c r="L51" s="37" t="s">
        <v>13</v>
      </c>
      <c r="M51" s="66" t="s">
        <v>25</v>
      </c>
      <c r="N51" s="74" t="s">
        <v>26</v>
      </c>
      <c r="O51" s="76"/>
      <c r="P51" s="75"/>
      <c r="Q51" s="28"/>
    </row>
    <row r="52" spans="1:112" x14ac:dyDescent="0.3">
      <c r="A52" s="48">
        <f>A42+TIME(0,36,0)</f>
        <v>0.3041666666666667</v>
      </c>
      <c r="B52" s="48">
        <f t="shared" ref="B52:B57" si="32">A52+TIME(0,16,0)</f>
        <v>0.31527777777777782</v>
      </c>
      <c r="C52" s="48">
        <f t="shared" ref="C52:C57" si="33">B52+TIME(0,22,0)</f>
        <v>0.3305555555555556</v>
      </c>
      <c r="D52" s="48">
        <f t="shared" ref="D52:D57" si="34">C52+TIME(0,12,0)</f>
        <v>0.33888888888888896</v>
      </c>
      <c r="E52" s="48">
        <f t="shared" ref="E52:E57" si="35">D52+TIME(0,16,0)</f>
        <v>0.35000000000000009</v>
      </c>
      <c r="F52" s="49">
        <f t="shared" ref="F52:F57" si="36">E52+TIME(0,4,0)</f>
        <v>0.35277777777777786</v>
      </c>
      <c r="G52" s="49">
        <f t="shared" ref="G52:G57" si="37">F52+TIME(0,16,0)</f>
        <v>0.36388888888888898</v>
      </c>
      <c r="H52" s="49">
        <f t="shared" ref="H52:H57" si="38">G52+TIME(0,12,0)</f>
        <v>0.37222222222222234</v>
      </c>
      <c r="I52" s="49">
        <f t="shared" ref="I52:I57" si="39">H52+TIME(0,22,0)</f>
        <v>0.38750000000000012</v>
      </c>
      <c r="J52" s="50">
        <f t="shared" ref="J52:J57" si="40">I52+TIME(0,16,0)</f>
        <v>0.39861111111111125</v>
      </c>
      <c r="K52" s="37">
        <v>1</v>
      </c>
      <c r="L52" s="37">
        <v>4</v>
      </c>
      <c r="M52" s="66"/>
      <c r="N52" s="113">
        <v>0.38611111111111113</v>
      </c>
      <c r="O52" s="37">
        <v>1</v>
      </c>
      <c r="P52" s="37">
        <v>4</v>
      </c>
      <c r="Q52" s="28"/>
      <c r="DH52" t="s">
        <v>14</v>
      </c>
    </row>
    <row r="53" spans="1:112" x14ac:dyDescent="0.3">
      <c r="A53" s="48">
        <f t="shared" ref="A53:A57" si="41">A52+TIME(0,144,0)</f>
        <v>0.40416666666666667</v>
      </c>
      <c r="B53" s="48">
        <f t="shared" si="32"/>
        <v>0.4152777777777778</v>
      </c>
      <c r="C53" s="48">
        <f t="shared" si="33"/>
        <v>0.43055555555555558</v>
      </c>
      <c r="D53" s="48">
        <f t="shared" si="34"/>
        <v>0.43888888888888894</v>
      </c>
      <c r="E53" s="48">
        <f t="shared" si="35"/>
        <v>0.45000000000000007</v>
      </c>
      <c r="F53" s="49">
        <f t="shared" si="36"/>
        <v>0.45277777777777783</v>
      </c>
      <c r="G53" s="49">
        <f t="shared" si="37"/>
        <v>0.46388888888888896</v>
      </c>
      <c r="H53" s="49">
        <f t="shared" si="38"/>
        <v>0.47222222222222232</v>
      </c>
      <c r="I53" s="49">
        <f t="shared" si="39"/>
        <v>0.4875000000000001</v>
      </c>
      <c r="J53" s="50">
        <f t="shared" si="40"/>
        <v>0.49861111111111123</v>
      </c>
      <c r="K53" s="37">
        <v>0</v>
      </c>
      <c r="L53" s="37" t="s">
        <v>14</v>
      </c>
      <c r="M53" s="66">
        <v>5.4976851851851853E-3</v>
      </c>
      <c r="N53" s="113">
        <v>0.4861111111111111</v>
      </c>
      <c r="O53" s="37">
        <v>1</v>
      </c>
      <c r="P53" s="37">
        <v>6</v>
      </c>
      <c r="Q53" s="28"/>
      <c r="DH53" t="s">
        <v>14</v>
      </c>
    </row>
    <row r="54" spans="1:112" x14ac:dyDescent="0.3">
      <c r="A54" s="48">
        <f t="shared" si="41"/>
        <v>0.50416666666666665</v>
      </c>
      <c r="B54" s="48">
        <f t="shared" si="32"/>
        <v>0.51527777777777772</v>
      </c>
      <c r="C54" s="48">
        <f t="shared" si="33"/>
        <v>0.53055555555555545</v>
      </c>
      <c r="D54" s="48">
        <f t="shared" si="34"/>
        <v>0.53888888888888875</v>
      </c>
      <c r="E54" s="48">
        <f t="shared" si="35"/>
        <v>0.54999999999999982</v>
      </c>
      <c r="F54" s="49">
        <f t="shared" si="36"/>
        <v>0.55277777777777759</v>
      </c>
      <c r="G54" s="49">
        <f t="shared" si="37"/>
        <v>0.56388888888888866</v>
      </c>
      <c r="H54" s="49">
        <f t="shared" si="38"/>
        <v>0.57222222222222197</v>
      </c>
      <c r="I54" s="49">
        <f t="shared" si="39"/>
        <v>0.58749999999999969</v>
      </c>
      <c r="J54" s="50">
        <f t="shared" si="40"/>
        <v>0.59861111111111076</v>
      </c>
      <c r="K54" s="37">
        <v>1</v>
      </c>
      <c r="L54" s="37">
        <v>8</v>
      </c>
      <c r="M54" s="66"/>
      <c r="N54" s="113">
        <v>0.58611111111111114</v>
      </c>
      <c r="O54" s="37">
        <v>1</v>
      </c>
      <c r="P54" s="37">
        <v>8</v>
      </c>
      <c r="Q54" s="28"/>
      <c r="DH54" t="s">
        <v>14</v>
      </c>
    </row>
    <row r="55" spans="1:112" x14ac:dyDescent="0.3">
      <c r="A55" s="48">
        <f t="shared" si="41"/>
        <v>0.60416666666666663</v>
      </c>
      <c r="B55" s="48">
        <f t="shared" si="32"/>
        <v>0.6152777777777777</v>
      </c>
      <c r="C55" s="48">
        <f t="shared" si="33"/>
        <v>0.63055555555555542</v>
      </c>
      <c r="D55" s="48">
        <f t="shared" si="34"/>
        <v>0.63888888888888873</v>
      </c>
      <c r="E55" s="48">
        <f t="shared" si="35"/>
        <v>0.6499999999999998</v>
      </c>
      <c r="F55" s="49">
        <f t="shared" si="36"/>
        <v>0.65277777777777757</v>
      </c>
      <c r="G55" s="49">
        <f t="shared" si="37"/>
        <v>0.66388888888888864</v>
      </c>
      <c r="H55" s="49">
        <f t="shared" si="38"/>
        <v>0.67222222222222194</v>
      </c>
      <c r="I55" s="49">
        <f t="shared" si="39"/>
        <v>0.68749999999999967</v>
      </c>
      <c r="J55" s="50">
        <f t="shared" si="40"/>
        <v>0.69861111111111074</v>
      </c>
      <c r="K55" s="37">
        <v>1</v>
      </c>
      <c r="L55" s="37">
        <v>10</v>
      </c>
      <c r="M55" s="66"/>
      <c r="N55" s="113">
        <v>0.68611111111111101</v>
      </c>
      <c r="O55" s="37">
        <v>1</v>
      </c>
      <c r="P55" s="37">
        <v>10</v>
      </c>
      <c r="Q55" s="28"/>
      <c r="DH55" t="s">
        <v>14</v>
      </c>
    </row>
    <row r="56" spans="1:112" x14ac:dyDescent="0.3">
      <c r="A56" s="48">
        <f t="shared" si="41"/>
        <v>0.70416666666666661</v>
      </c>
      <c r="B56" s="48">
        <f t="shared" si="32"/>
        <v>0.71527777777777768</v>
      </c>
      <c r="C56" s="48">
        <f t="shared" si="33"/>
        <v>0.7305555555555554</v>
      </c>
      <c r="D56" s="48">
        <f t="shared" si="34"/>
        <v>0.73888888888888871</v>
      </c>
      <c r="E56" s="48">
        <f t="shared" si="35"/>
        <v>0.74999999999999978</v>
      </c>
      <c r="F56" s="49">
        <f t="shared" si="36"/>
        <v>0.75277777777777755</v>
      </c>
      <c r="G56" s="49">
        <f t="shared" si="37"/>
        <v>0.76388888888888862</v>
      </c>
      <c r="H56" s="49">
        <f t="shared" si="38"/>
        <v>0.77222222222222192</v>
      </c>
      <c r="I56" s="49">
        <f t="shared" si="39"/>
        <v>0.78749999999999964</v>
      </c>
      <c r="J56" s="50">
        <f t="shared" si="40"/>
        <v>0.79861111111111072</v>
      </c>
      <c r="K56" s="37">
        <v>1</v>
      </c>
      <c r="L56" s="37">
        <v>12</v>
      </c>
      <c r="M56" s="66"/>
      <c r="N56" s="113">
        <v>0.78611111111111109</v>
      </c>
      <c r="O56" s="37">
        <v>1</v>
      </c>
      <c r="P56" s="37">
        <v>12</v>
      </c>
      <c r="Q56" s="28"/>
      <c r="DH56" t="s">
        <v>14</v>
      </c>
    </row>
    <row r="57" spans="1:112" x14ac:dyDescent="0.3">
      <c r="A57" s="48">
        <f t="shared" si="41"/>
        <v>0.80416666666666659</v>
      </c>
      <c r="B57" s="48">
        <f t="shared" si="32"/>
        <v>0.81527777777777766</v>
      </c>
      <c r="C57" s="48">
        <f t="shared" si="33"/>
        <v>0.83055555555555538</v>
      </c>
      <c r="D57" s="48">
        <f t="shared" si="34"/>
        <v>0.83888888888888868</v>
      </c>
      <c r="E57" s="48">
        <f t="shared" si="35"/>
        <v>0.84999999999999976</v>
      </c>
      <c r="F57" s="49">
        <f t="shared" si="36"/>
        <v>0.85277777777777752</v>
      </c>
      <c r="G57" s="49">
        <f t="shared" si="37"/>
        <v>0.8638888888888886</v>
      </c>
      <c r="H57" s="49">
        <f t="shared" si="38"/>
        <v>0.8722222222222219</v>
      </c>
      <c r="I57" s="49">
        <f t="shared" si="39"/>
        <v>0.88749999999999962</v>
      </c>
      <c r="J57" s="50">
        <f t="shared" si="40"/>
        <v>0.89861111111111069</v>
      </c>
      <c r="K57" s="37">
        <v>1</v>
      </c>
      <c r="L57" s="37">
        <v>14</v>
      </c>
      <c r="M57" s="66"/>
      <c r="N57" s="113">
        <v>0.88611111111111107</v>
      </c>
      <c r="O57" s="37">
        <v>1</v>
      </c>
      <c r="P57" s="37">
        <v>14</v>
      </c>
      <c r="Q57" s="28"/>
      <c r="DH57" t="s">
        <v>14</v>
      </c>
    </row>
    <row r="59" spans="1:112" ht="15" thickBot="1" x14ac:dyDescent="0.35"/>
    <row r="60" spans="1:112" ht="15" thickBot="1" x14ac:dyDescent="0.35">
      <c r="J60" s="130" t="s">
        <v>62</v>
      </c>
      <c r="K60" s="131"/>
      <c r="L60" s="131"/>
      <c r="M60" s="131"/>
      <c r="N60" s="132"/>
    </row>
    <row r="61" spans="1:112" x14ac:dyDescent="0.3">
      <c r="J61" s="123" t="s">
        <v>57</v>
      </c>
      <c r="K61" s="123" t="s">
        <v>58</v>
      </c>
      <c r="L61" s="123" t="s">
        <v>60</v>
      </c>
      <c r="M61" s="123" t="s">
        <v>61</v>
      </c>
      <c r="N61" s="129" t="s">
        <v>59</v>
      </c>
    </row>
    <row r="62" spans="1:112" x14ac:dyDescent="0.3">
      <c r="J62" s="125">
        <v>0.31111111111111112</v>
      </c>
      <c r="K62" s="125">
        <v>0.3298611111111111</v>
      </c>
      <c r="L62" s="125">
        <v>0.3611111111111111</v>
      </c>
      <c r="M62" s="125">
        <v>0.38611111111111113</v>
      </c>
      <c r="N62" s="37">
        <v>1</v>
      </c>
    </row>
    <row r="63" spans="1:112" x14ac:dyDescent="0.3">
      <c r="J63" s="125">
        <v>0.41111111111111115</v>
      </c>
      <c r="K63" s="125">
        <v>0.42986111111111114</v>
      </c>
      <c r="L63" s="125">
        <v>0.46111111111111108</v>
      </c>
      <c r="M63" s="125">
        <v>0.4861111111111111</v>
      </c>
      <c r="N63" s="37">
        <v>1</v>
      </c>
    </row>
    <row r="64" spans="1:112" x14ac:dyDescent="0.3">
      <c r="J64" s="125">
        <v>0.51111111111111118</v>
      </c>
      <c r="K64" s="125">
        <v>0.52986111111111112</v>
      </c>
      <c r="L64" s="125">
        <v>0.56111111111111112</v>
      </c>
      <c r="M64" s="125">
        <v>0.58611111111111114</v>
      </c>
      <c r="N64" s="37">
        <v>1</v>
      </c>
    </row>
    <row r="65" spans="10:14" x14ac:dyDescent="0.3">
      <c r="J65" s="125">
        <v>0.61111111111111105</v>
      </c>
      <c r="K65" s="125">
        <v>0.6298611111111112</v>
      </c>
      <c r="L65" s="125">
        <v>0.66111111111111109</v>
      </c>
      <c r="M65" s="125">
        <v>0.68611111111111101</v>
      </c>
      <c r="N65" s="37">
        <v>1</v>
      </c>
    </row>
    <row r="66" spans="10:14" x14ac:dyDescent="0.3">
      <c r="J66" s="125">
        <v>0.71111111111111114</v>
      </c>
      <c r="K66" s="125">
        <v>0.72986111111111118</v>
      </c>
      <c r="L66" s="125">
        <v>0.76111111111111107</v>
      </c>
      <c r="M66" s="125">
        <v>0.78611111111111109</v>
      </c>
      <c r="N66" s="37">
        <v>1</v>
      </c>
    </row>
    <row r="67" spans="10:14" x14ac:dyDescent="0.3">
      <c r="J67" s="125">
        <v>0.81111111111111101</v>
      </c>
      <c r="K67" s="125">
        <v>0.82986111111111116</v>
      </c>
      <c r="L67" s="125">
        <v>0.86111111111111116</v>
      </c>
      <c r="M67" s="125">
        <v>0.88611111111111107</v>
      </c>
      <c r="N67" s="37">
        <v>1</v>
      </c>
    </row>
  </sheetData>
  <mergeCells count="8">
    <mergeCell ref="R31:T31"/>
    <mergeCell ref="J60:N60"/>
    <mergeCell ref="G1:K1"/>
    <mergeCell ref="L1:P1"/>
    <mergeCell ref="N31:P31"/>
    <mergeCell ref="N41:P41"/>
    <mergeCell ref="N51:P51"/>
    <mergeCell ref="N21:P21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41D7A-76D7-4677-85FE-B7EC60936430}">
  <sheetPr codeName="Sheet7"/>
  <dimension ref="A1:AB91"/>
  <sheetViews>
    <sheetView tabSelected="1" zoomScale="45" workbookViewId="0">
      <selection activeCell="N92" sqref="N92"/>
    </sheetView>
  </sheetViews>
  <sheetFormatPr defaultRowHeight="14.4" x14ac:dyDescent="0.3"/>
  <cols>
    <col min="1" max="36" width="13.77734375" customWidth="1"/>
    <col min="37" max="38" width="14.77734375" customWidth="1"/>
  </cols>
  <sheetData>
    <row r="1" spans="1:19" x14ac:dyDescent="0.3">
      <c r="A1" s="5" t="s">
        <v>5</v>
      </c>
      <c r="B1" s="6" t="s">
        <v>6</v>
      </c>
      <c r="C1" s="6" t="s">
        <v>10</v>
      </c>
      <c r="D1" s="6" t="s">
        <v>10</v>
      </c>
      <c r="E1" s="6" t="s">
        <v>10</v>
      </c>
      <c r="F1" s="6" t="s">
        <v>7</v>
      </c>
      <c r="G1" s="30" t="s">
        <v>8</v>
      </c>
      <c r="H1" s="30"/>
      <c r="I1" s="30"/>
      <c r="J1" s="30"/>
      <c r="K1" s="30"/>
      <c r="L1" s="31" t="s">
        <v>9</v>
      </c>
      <c r="M1" s="31"/>
      <c r="N1" s="31"/>
      <c r="O1" s="31"/>
      <c r="P1" s="31"/>
    </row>
    <row r="2" spans="1:19" x14ac:dyDescent="0.3">
      <c r="A2" s="7">
        <v>1</v>
      </c>
      <c r="B2" s="8">
        <f>TIME(4,50,0)</f>
        <v>0.20138888888888887</v>
      </c>
      <c r="C2" s="8">
        <f>TIME(5,5,0)</f>
        <v>0.21180555555555555</v>
      </c>
      <c r="D2" s="8">
        <f>TIME(5,25,0)</f>
        <v>0.22569444444444445</v>
      </c>
      <c r="E2" s="8">
        <f>TIME(5,25,0)</f>
        <v>0.22569444444444445</v>
      </c>
      <c r="F2" s="8">
        <f>TIME(5,38,0)</f>
        <v>0.23472222222222219</v>
      </c>
      <c r="G2" s="9">
        <f t="shared" ref="G2:L16" si="0">B2-TIME(0,15,0)</f>
        <v>0.19097222222222221</v>
      </c>
      <c r="H2" s="9">
        <f t="shared" si="0"/>
        <v>0.2013888888888889</v>
      </c>
      <c r="I2" s="9">
        <f t="shared" si="0"/>
        <v>0.21527777777777779</v>
      </c>
      <c r="J2" s="9">
        <f t="shared" si="0"/>
        <v>0.21527777777777779</v>
      </c>
      <c r="K2" s="27">
        <f>F2-TIME(0,15,0)</f>
        <v>0.22430555555555554</v>
      </c>
      <c r="L2" s="26">
        <f>G2-TIME(0,15,0)</f>
        <v>0.18055555555555555</v>
      </c>
      <c r="M2" s="10">
        <f t="shared" ref="M2:P16" si="1">H2-TIME(0,15,0)</f>
        <v>0.19097222222222224</v>
      </c>
      <c r="N2" s="10">
        <f t="shared" si="1"/>
        <v>0.20486111111111113</v>
      </c>
      <c r="O2" s="10">
        <f t="shared" si="1"/>
        <v>0.20486111111111113</v>
      </c>
      <c r="P2" s="10">
        <f t="shared" si="1"/>
        <v>0.21388888888888888</v>
      </c>
    </row>
    <row r="3" spans="1:19" x14ac:dyDescent="0.3">
      <c r="A3" s="7">
        <v>2</v>
      </c>
      <c r="B3" s="8">
        <f>TIME(6,0,0)</f>
        <v>0.25</v>
      </c>
      <c r="C3" s="8">
        <f>TIME(6,30,0)</f>
        <v>0.27083333333333331</v>
      </c>
      <c r="D3" s="8">
        <f>TIME(6,35,0)</f>
        <v>0.27430555555555552</v>
      </c>
      <c r="E3" s="8">
        <f>TIME(6,40,0)</f>
        <v>0.27777777777777779</v>
      </c>
      <c r="F3" s="8">
        <f>TIME(7,0,0)</f>
        <v>0.29166666666666669</v>
      </c>
      <c r="G3" s="9">
        <f t="shared" si="0"/>
        <v>0.23958333333333334</v>
      </c>
      <c r="H3" s="9">
        <f t="shared" si="0"/>
        <v>0.26041666666666663</v>
      </c>
      <c r="I3" s="9">
        <f t="shared" si="0"/>
        <v>0.26388888888888884</v>
      </c>
      <c r="J3" s="9">
        <f t="shared" si="0"/>
        <v>0.2673611111111111</v>
      </c>
      <c r="K3" s="27">
        <f t="shared" si="0"/>
        <v>0.28125</v>
      </c>
      <c r="L3" s="26">
        <f t="shared" si="0"/>
        <v>0.22916666666666669</v>
      </c>
      <c r="M3" s="10">
        <f t="shared" si="1"/>
        <v>0.24999999999999997</v>
      </c>
      <c r="N3" s="10">
        <f t="shared" si="1"/>
        <v>0.25347222222222215</v>
      </c>
      <c r="O3" s="10">
        <f t="shared" si="1"/>
        <v>0.25694444444444442</v>
      </c>
      <c r="P3" s="10">
        <f t="shared" si="1"/>
        <v>0.27083333333333331</v>
      </c>
    </row>
    <row r="4" spans="1:19" x14ac:dyDescent="0.3">
      <c r="A4" s="7">
        <v>3</v>
      </c>
      <c r="B4" s="8">
        <f>TIME(7,15,0)</f>
        <v>0.30208333333333331</v>
      </c>
      <c r="C4" s="8">
        <f>TIME(7,15,0)</f>
        <v>0.30208333333333331</v>
      </c>
      <c r="D4" s="8">
        <f>TIME(7,35,0)</f>
        <v>0.31597222222222221</v>
      </c>
      <c r="E4" s="8">
        <f>TIME(7,55,0)</f>
        <v>0.3298611111111111</v>
      </c>
      <c r="F4" s="8">
        <f>TIME(8,10,0)</f>
        <v>0.34027777777777773</v>
      </c>
      <c r="G4" s="9">
        <f t="shared" si="0"/>
        <v>0.29166666666666663</v>
      </c>
      <c r="H4" s="9">
        <f t="shared" si="0"/>
        <v>0.29166666666666663</v>
      </c>
      <c r="I4" s="9">
        <f t="shared" si="0"/>
        <v>0.30555555555555552</v>
      </c>
      <c r="J4" s="9">
        <f t="shared" si="0"/>
        <v>0.31944444444444442</v>
      </c>
      <c r="K4" s="27">
        <f t="shared" si="0"/>
        <v>0.32986111111111105</v>
      </c>
      <c r="L4" s="26">
        <f t="shared" si="0"/>
        <v>0.28124999999999994</v>
      </c>
      <c r="M4" s="10">
        <f t="shared" si="1"/>
        <v>0.28124999999999994</v>
      </c>
      <c r="N4" s="10">
        <f t="shared" si="1"/>
        <v>0.29513888888888884</v>
      </c>
      <c r="O4" s="10">
        <f t="shared" si="1"/>
        <v>0.30902777777777773</v>
      </c>
      <c r="P4" s="10">
        <f t="shared" si="1"/>
        <v>0.31944444444444436</v>
      </c>
    </row>
    <row r="5" spans="1:19" x14ac:dyDescent="0.3">
      <c r="A5" s="7">
        <v>4</v>
      </c>
      <c r="B5" s="8">
        <f>TIME(9,0,0)</f>
        <v>0.375</v>
      </c>
      <c r="C5" s="8">
        <f>TIME(9,20,0)</f>
        <v>0.3888888888888889</v>
      </c>
      <c r="D5" s="8">
        <f>TIME(9,30,0)</f>
        <v>0.39583333333333331</v>
      </c>
      <c r="E5" s="8">
        <f>TIME(9,55,0)</f>
        <v>0.41319444444444442</v>
      </c>
      <c r="F5" s="8">
        <f>TIME(10,5,0)</f>
        <v>0.4201388888888889</v>
      </c>
      <c r="G5" s="9">
        <f t="shared" si="0"/>
        <v>0.36458333333333331</v>
      </c>
      <c r="H5" s="9">
        <f t="shared" si="0"/>
        <v>0.37847222222222221</v>
      </c>
      <c r="I5" s="9">
        <f t="shared" si="0"/>
        <v>0.38541666666666663</v>
      </c>
      <c r="J5" s="9">
        <f t="shared" si="0"/>
        <v>0.40277777777777773</v>
      </c>
      <c r="K5" s="27">
        <f t="shared" si="0"/>
        <v>0.40972222222222221</v>
      </c>
      <c r="L5" s="26">
        <f t="shared" si="0"/>
        <v>0.35416666666666663</v>
      </c>
      <c r="M5" s="10">
        <f t="shared" si="1"/>
        <v>0.36805555555555552</v>
      </c>
      <c r="N5" s="10">
        <f t="shared" si="1"/>
        <v>0.37499999999999994</v>
      </c>
      <c r="O5" s="10">
        <f t="shared" si="1"/>
        <v>0.39236111111111105</v>
      </c>
      <c r="P5" s="10">
        <f t="shared" si="1"/>
        <v>0.39930555555555552</v>
      </c>
    </row>
    <row r="6" spans="1:19" x14ac:dyDescent="0.3">
      <c r="A6" s="7">
        <v>5</v>
      </c>
      <c r="B6" s="8">
        <f>TIME(10,15,0)</f>
        <v>0.42708333333333331</v>
      </c>
      <c r="C6" s="8">
        <f>TIME(10,25,0)</f>
        <v>0.43402777777777773</v>
      </c>
      <c r="D6" s="8">
        <f>TIME(10,35,0)</f>
        <v>0.44097222222222227</v>
      </c>
      <c r="E6" s="8">
        <f>TIME(11,5,0)</f>
        <v>0.46180555555555558</v>
      </c>
      <c r="F6" s="8">
        <f>TIME(11,15,0)</f>
        <v>0.46875</v>
      </c>
      <c r="G6" s="9">
        <f t="shared" si="0"/>
        <v>0.41666666666666663</v>
      </c>
      <c r="H6" s="9">
        <f t="shared" si="0"/>
        <v>0.42361111111111105</v>
      </c>
      <c r="I6" s="9">
        <f t="shared" si="0"/>
        <v>0.43055555555555558</v>
      </c>
      <c r="J6" s="9">
        <f t="shared" si="0"/>
        <v>0.4513888888888889</v>
      </c>
      <c r="K6" s="27">
        <f t="shared" si="0"/>
        <v>0.45833333333333331</v>
      </c>
      <c r="L6" s="26">
        <f t="shared" si="0"/>
        <v>0.40624999999999994</v>
      </c>
      <c r="M6" s="10">
        <f t="shared" si="1"/>
        <v>0.41319444444444436</v>
      </c>
      <c r="N6" s="10">
        <f t="shared" si="1"/>
        <v>0.4201388888888889</v>
      </c>
      <c r="O6" s="10">
        <f t="shared" si="1"/>
        <v>0.44097222222222221</v>
      </c>
      <c r="P6" s="10">
        <f t="shared" si="1"/>
        <v>0.44791666666666663</v>
      </c>
    </row>
    <row r="7" spans="1:19" ht="15" thickBot="1" x14ac:dyDescent="0.35">
      <c r="A7" s="7">
        <v>6</v>
      </c>
      <c r="B7" s="8">
        <f>TIME(11,20,0)</f>
        <v>0.47222222222222227</v>
      </c>
      <c r="C7" s="8">
        <f>TIME(11,30,0)</f>
        <v>0.47916666666666669</v>
      </c>
      <c r="D7" s="8">
        <f>TIME(11,45,0)</f>
        <v>0.48958333333333331</v>
      </c>
      <c r="E7" s="8">
        <f>TIME(11,55,0)</f>
        <v>0.49652777777777773</v>
      </c>
      <c r="F7" s="8">
        <f>TIME(12,5,5)</f>
        <v>0.50353009259259263</v>
      </c>
      <c r="G7" s="9">
        <f t="shared" si="0"/>
        <v>0.46180555555555558</v>
      </c>
      <c r="H7" s="9">
        <f t="shared" si="0"/>
        <v>0.46875</v>
      </c>
      <c r="I7" s="9">
        <f t="shared" si="0"/>
        <v>0.47916666666666663</v>
      </c>
      <c r="J7" s="9">
        <f t="shared" si="0"/>
        <v>0.48611111111111105</v>
      </c>
      <c r="K7" s="27">
        <f t="shared" si="0"/>
        <v>0.49311342592592594</v>
      </c>
      <c r="L7" s="26">
        <f t="shared" si="0"/>
        <v>0.4513888888888889</v>
      </c>
      <c r="M7" s="10">
        <f t="shared" si="1"/>
        <v>0.45833333333333331</v>
      </c>
      <c r="N7" s="10">
        <f t="shared" si="1"/>
        <v>0.46874999999999994</v>
      </c>
      <c r="O7" s="10">
        <f t="shared" si="1"/>
        <v>0.47569444444444436</v>
      </c>
      <c r="P7" s="10">
        <f t="shared" si="1"/>
        <v>0.48269675925925926</v>
      </c>
    </row>
    <row r="8" spans="1:19" x14ac:dyDescent="0.3">
      <c r="A8" s="7">
        <v>7</v>
      </c>
      <c r="B8" s="8">
        <f>TIME(12,30,0)</f>
        <v>0.52083333333333337</v>
      </c>
      <c r="C8" s="8">
        <f>TIME(12,35,0)</f>
        <v>0.52430555555555558</v>
      </c>
      <c r="D8" s="8">
        <f>TIME(13,0,0)</f>
        <v>0.54166666666666663</v>
      </c>
      <c r="E8" s="8">
        <f>TIME(13,10,0)</f>
        <v>0.54861111111111105</v>
      </c>
      <c r="F8" s="8">
        <f>TIME(13,35,0)</f>
        <v>0.56597222222222221</v>
      </c>
      <c r="G8" s="9">
        <f t="shared" si="0"/>
        <v>0.51041666666666674</v>
      </c>
      <c r="H8" s="9">
        <f t="shared" si="0"/>
        <v>0.51388888888888895</v>
      </c>
      <c r="I8" s="9">
        <f t="shared" si="0"/>
        <v>0.53125</v>
      </c>
      <c r="J8" s="9">
        <f t="shared" si="0"/>
        <v>0.53819444444444442</v>
      </c>
      <c r="K8" s="27">
        <f t="shared" si="0"/>
        <v>0.55555555555555558</v>
      </c>
      <c r="L8" s="26">
        <f t="shared" si="0"/>
        <v>0.50000000000000011</v>
      </c>
      <c r="M8" s="10">
        <f t="shared" si="1"/>
        <v>0.50347222222222232</v>
      </c>
      <c r="N8" s="10">
        <f t="shared" si="1"/>
        <v>0.52083333333333337</v>
      </c>
      <c r="O8" s="10">
        <f t="shared" si="1"/>
        <v>0.52777777777777779</v>
      </c>
      <c r="P8" s="10">
        <f t="shared" si="1"/>
        <v>0.54513888888888895</v>
      </c>
      <c r="R8" s="115" t="s">
        <v>50</v>
      </c>
      <c r="S8" s="116">
        <f>TIME(0,19,0)</f>
        <v>1.3194444444444444E-2</v>
      </c>
    </row>
    <row r="9" spans="1:19" x14ac:dyDescent="0.3">
      <c r="A9" s="7">
        <v>8</v>
      </c>
      <c r="B9" s="8">
        <f>TIME(13,50,0)</f>
        <v>0.57638888888888895</v>
      </c>
      <c r="C9" s="8">
        <f>TIME(13,55,0)</f>
        <v>0.57986111111111105</v>
      </c>
      <c r="D9" s="8">
        <f>TIME(14,5,0)</f>
        <v>0.58680555555555558</v>
      </c>
      <c r="E9" s="8">
        <f>TIME(14,20,0)</f>
        <v>0.59722222222222221</v>
      </c>
      <c r="F9" s="8">
        <f>TIME(14,45,0)</f>
        <v>0.61458333333333337</v>
      </c>
      <c r="G9" s="9">
        <f t="shared" si="0"/>
        <v>0.56597222222222232</v>
      </c>
      <c r="H9" s="9">
        <f t="shared" si="0"/>
        <v>0.56944444444444442</v>
      </c>
      <c r="I9" s="9">
        <f t="shared" si="0"/>
        <v>0.57638888888888895</v>
      </c>
      <c r="J9" s="9">
        <f t="shared" si="0"/>
        <v>0.58680555555555558</v>
      </c>
      <c r="K9" s="27">
        <f t="shared" si="0"/>
        <v>0.60416666666666674</v>
      </c>
      <c r="L9" s="26">
        <f t="shared" si="0"/>
        <v>0.55555555555555569</v>
      </c>
      <c r="M9" s="10">
        <f t="shared" si="1"/>
        <v>0.55902777777777779</v>
      </c>
      <c r="N9" s="10">
        <f t="shared" si="1"/>
        <v>0.56597222222222232</v>
      </c>
      <c r="O9" s="10">
        <f t="shared" si="1"/>
        <v>0.57638888888888895</v>
      </c>
      <c r="P9" s="10">
        <f t="shared" si="1"/>
        <v>0.59375000000000011</v>
      </c>
      <c r="R9" s="117" t="s">
        <v>53</v>
      </c>
      <c r="S9" s="118">
        <f>TIME(0,9,0)</f>
        <v>6.2499999999999995E-3</v>
      </c>
    </row>
    <row r="10" spans="1:19" ht="15" thickBot="1" x14ac:dyDescent="0.35">
      <c r="A10" s="7">
        <v>9</v>
      </c>
      <c r="B10" s="8">
        <f>TIME(15,10,0)</f>
        <v>0.63194444444444442</v>
      </c>
      <c r="C10" s="8">
        <f>TIME(15,30,0)</f>
        <v>0.64583333333333337</v>
      </c>
      <c r="D10" s="8">
        <f>TIME(15,50,0)</f>
        <v>0.65972222222222221</v>
      </c>
      <c r="E10" s="8">
        <f>TIME(16,10,0)</f>
        <v>0.67361111111111116</v>
      </c>
      <c r="F10" s="8">
        <f>TIME(16,20,0)</f>
        <v>0.68055555555555547</v>
      </c>
      <c r="G10" s="9">
        <f t="shared" si="0"/>
        <v>0.62152777777777779</v>
      </c>
      <c r="H10" s="9">
        <f t="shared" si="0"/>
        <v>0.63541666666666674</v>
      </c>
      <c r="I10" s="9">
        <f t="shared" si="0"/>
        <v>0.64930555555555558</v>
      </c>
      <c r="J10" s="9">
        <f t="shared" si="0"/>
        <v>0.66319444444444453</v>
      </c>
      <c r="K10" s="27">
        <f t="shared" si="0"/>
        <v>0.67013888888888884</v>
      </c>
      <c r="L10" s="26">
        <f t="shared" si="0"/>
        <v>0.61111111111111116</v>
      </c>
      <c r="M10" s="10">
        <f t="shared" si="1"/>
        <v>0.62500000000000011</v>
      </c>
      <c r="N10" s="10">
        <f t="shared" si="1"/>
        <v>0.63888888888888895</v>
      </c>
      <c r="O10" s="10">
        <f t="shared" si="1"/>
        <v>0.6527777777777779</v>
      </c>
      <c r="P10" s="10">
        <f t="shared" si="1"/>
        <v>0.65972222222222221</v>
      </c>
      <c r="R10" s="119" t="s">
        <v>54</v>
      </c>
      <c r="S10" s="120">
        <f>TIME(0,6,0)</f>
        <v>4.1666666666666666E-3</v>
      </c>
    </row>
    <row r="11" spans="1:19" x14ac:dyDescent="0.3">
      <c r="A11" s="7">
        <v>10</v>
      </c>
      <c r="B11" s="8">
        <f>TIME(16,30,0)</f>
        <v>0.6875</v>
      </c>
      <c r="C11" s="8">
        <f>TIME(16,45,0)</f>
        <v>0.69791666666666663</v>
      </c>
      <c r="D11" s="8">
        <f>TIME(16,55,0)</f>
        <v>0.70486111111111116</v>
      </c>
      <c r="E11" s="8">
        <f>TIME(17,0,0)</f>
        <v>0.70833333333333337</v>
      </c>
      <c r="F11" s="8">
        <f>TIME(17,30,0)</f>
        <v>0.72916666666666663</v>
      </c>
      <c r="G11" s="9">
        <f t="shared" si="0"/>
        <v>0.67708333333333337</v>
      </c>
      <c r="H11" s="9">
        <f t="shared" si="0"/>
        <v>0.6875</v>
      </c>
      <c r="I11" s="9">
        <f t="shared" si="0"/>
        <v>0.69444444444444453</v>
      </c>
      <c r="J11" s="9">
        <f t="shared" si="0"/>
        <v>0.69791666666666674</v>
      </c>
      <c r="K11" s="27">
        <f t="shared" si="0"/>
        <v>0.71875</v>
      </c>
      <c r="L11" s="26">
        <f t="shared" si="0"/>
        <v>0.66666666666666674</v>
      </c>
      <c r="M11" s="10">
        <f t="shared" si="1"/>
        <v>0.67708333333333337</v>
      </c>
      <c r="N11" s="10">
        <f t="shared" si="1"/>
        <v>0.6840277777777779</v>
      </c>
      <c r="O11" s="10">
        <f t="shared" si="1"/>
        <v>0.68750000000000011</v>
      </c>
      <c r="P11" s="10">
        <f t="shared" si="1"/>
        <v>0.70833333333333337</v>
      </c>
      <c r="R11" s="28"/>
      <c r="S11" s="28"/>
    </row>
    <row r="12" spans="1:19" x14ac:dyDescent="0.3">
      <c r="A12" s="7">
        <v>11</v>
      </c>
      <c r="B12" s="8">
        <f>TIME(17,45,0)</f>
        <v>0.73958333333333337</v>
      </c>
      <c r="C12" s="8">
        <f>TIME(18,0,0)</f>
        <v>0.75</v>
      </c>
      <c r="D12" s="8">
        <f>TIME(18,25,0)</f>
        <v>0.76736111111111116</v>
      </c>
      <c r="E12" s="8">
        <f>TIME(18,35,0)</f>
        <v>0.77430555555555547</v>
      </c>
      <c r="F12" s="8">
        <f>TIME(18,50,0)</f>
        <v>0.78472222222222221</v>
      </c>
      <c r="G12" s="9">
        <f t="shared" si="0"/>
        <v>0.72916666666666674</v>
      </c>
      <c r="H12" s="9">
        <f t="shared" si="0"/>
        <v>0.73958333333333337</v>
      </c>
      <c r="I12" s="9">
        <f t="shared" si="0"/>
        <v>0.75694444444444453</v>
      </c>
      <c r="J12" s="9">
        <f t="shared" si="0"/>
        <v>0.76388888888888884</v>
      </c>
      <c r="K12" s="27">
        <f t="shared" si="0"/>
        <v>0.77430555555555558</v>
      </c>
      <c r="L12" s="26">
        <f t="shared" si="0"/>
        <v>0.71875000000000011</v>
      </c>
      <c r="M12" s="10">
        <f t="shared" si="1"/>
        <v>0.72916666666666674</v>
      </c>
      <c r="N12" s="10">
        <f t="shared" si="1"/>
        <v>0.7465277777777779</v>
      </c>
      <c r="O12" s="10">
        <f t="shared" si="1"/>
        <v>0.75347222222222221</v>
      </c>
      <c r="P12" s="10">
        <f t="shared" si="1"/>
        <v>0.76388888888888895</v>
      </c>
    </row>
    <row r="13" spans="1:19" x14ac:dyDescent="0.3">
      <c r="A13" s="7">
        <v>12</v>
      </c>
      <c r="B13" s="8">
        <f>TIME(19,0,0)</f>
        <v>0.79166666666666663</v>
      </c>
      <c r="C13" s="8">
        <f>TIME(19,5,0)</f>
        <v>0.79513888888888884</v>
      </c>
      <c r="D13" s="8">
        <f>TIME(19,20,0)</f>
        <v>0.80555555555555547</v>
      </c>
      <c r="E13" s="8">
        <f>TIME(19,30,0)</f>
        <v>0.8125</v>
      </c>
      <c r="F13" s="8">
        <f>TIME(19,55,0)</f>
        <v>0.82986111111111116</v>
      </c>
      <c r="G13" s="9">
        <f t="shared" si="0"/>
        <v>0.78125</v>
      </c>
      <c r="H13" s="9">
        <f t="shared" si="0"/>
        <v>0.78472222222222221</v>
      </c>
      <c r="I13" s="9">
        <f t="shared" si="0"/>
        <v>0.79513888888888884</v>
      </c>
      <c r="J13" s="9">
        <f t="shared" si="0"/>
        <v>0.80208333333333337</v>
      </c>
      <c r="K13" s="27">
        <f t="shared" si="0"/>
        <v>0.81944444444444453</v>
      </c>
      <c r="L13" s="26">
        <f t="shared" si="0"/>
        <v>0.77083333333333337</v>
      </c>
      <c r="M13" s="10">
        <f t="shared" si="1"/>
        <v>0.77430555555555558</v>
      </c>
      <c r="N13" s="10">
        <f t="shared" si="1"/>
        <v>0.78472222222222221</v>
      </c>
      <c r="O13" s="10">
        <f t="shared" si="1"/>
        <v>0.79166666666666674</v>
      </c>
      <c r="P13" s="10">
        <f t="shared" si="1"/>
        <v>0.8090277777777779</v>
      </c>
    </row>
    <row r="14" spans="1:19" x14ac:dyDescent="0.3">
      <c r="A14" s="7">
        <v>13</v>
      </c>
      <c r="B14" s="8">
        <f>TIME(20,5,0)</f>
        <v>0.83680555555555547</v>
      </c>
      <c r="C14" s="8">
        <f>TIME(20,20,0)</f>
        <v>0.84722222222222221</v>
      </c>
      <c r="D14" s="8">
        <f>TIME(20,40,0)</f>
        <v>0.86111111111111116</v>
      </c>
      <c r="E14" s="8">
        <f>TIME(20,55,0)</f>
        <v>0.87152777777777779</v>
      </c>
      <c r="F14" s="8">
        <f>TIME(21,5,0)</f>
        <v>0.87847222222222221</v>
      </c>
      <c r="G14" s="9">
        <f t="shared" si="0"/>
        <v>0.82638888888888884</v>
      </c>
      <c r="H14" s="9">
        <f t="shared" si="0"/>
        <v>0.83680555555555558</v>
      </c>
      <c r="I14" s="9">
        <f t="shared" si="0"/>
        <v>0.85069444444444453</v>
      </c>
      <c r="J14" s="9">
        <f t="shared" si="0"/>
        <v>0.86111111111111116</v>
      </c>
      <c r="K14" s="27">
        <f t="shared" si="0"/>
        <v>0.86805555555555558</v>
      </c>
      <c r="L14" s="26">
        <f t="shared" si="0"/>
        <v>0.81597222222222221</v>
      </c>
      <c r="M14" s="10">
        <f t="shared" si="1"/>
        <v>0.82638888888888895</v>
      </c>
      <c r="N14" s="10">
        <f t="shared" si="1"/>
        <v>0.8402777777777779</v>
      </c>
      <c r="O14" s="10">
        <f t="shared" si="1"/>
        <v>0.85069444444444453</v>
      </c>
      <c r="P14" s="10">
        <f t="shared" si="1"/>
        <v>0.85763888888888895</v>
      </c>
    </row>
    <row r="15" spans="1:19" x14ac:dyDescent="0.3">
      <c r="A15" s="7">
        <v>14</v>
      </c>
      <c r="B15" s="8">
        <f>TIME(21,40,0)</f>
        <v>0.90277777777777779</v>
      </c>
      <c r="C15" s="8">
        <f>TIME(22,5,0)</f>
        <v>0.92013888888888884</v>
      </c>
      <c r="D15" s="8">
        <f>TIME(22,25,0)</f>
        <v>0.93402777777777779</v>
      </c>
      <c r="E15" s="8">
        <f>TIME(22,25,0)</f>
        <v>0.93402777777777779</v>
      </c>
      <c r="F15" s="8">
        <f>TIME(22,35,0)</f>
        <v>0.94097222222222221</v>
      </c>
      <c r="G15" s="9">
        <f t="shared" si="0"/>
        <v>0.89236111111111116</v>
      </c>
      <c r="H15" s="9">
        <f t="shared" si="0"/>
        <v>0.90972222222222221</v>
      </c>
      <c r="I15" s="9">
        <f t="shared" si="0"/>
        <v>0.92361111111111116</v>
      </c>
      <c r="J15" s="9">
        <f t="shared" si="0"/>
        <v>0.92361111111111116</v>
      </c>
      <c r="K15" s="27">
        <f t="shared" si="0"/>
        <v>0.93055555555555558</v>
      </c>
      <c r="L15" s="26">
        <f t="shared" si="0"/>
        <v>0.88194444444444453</v>
      </c>
      <c r="M15" s="10">
        <f t="shared" si="1"/>
        <v>0.89930555555555558</v>
      </c>
      <c r="N15" s="10">
        <f t="shared" si="1"/>
        <v>0.91319444444444453</v>
      </c>
      <c r="O15" s="10">
        <f t="shared" si="1"/>
        <v>0.91319444444444453</v>
      </c>
      <c r="P15" s="10">
        <f t="shared" si="1"/>
        <v>0.92013888888888895</v>
      </c>
    </row>
    <row r="16" spans="1:19" x14ac:dyDescent="0.3">
      <c r="A16" s="7">
        <v>15</v>
      </c>
      <c r="B16" s="8">
        <f>TIME(22,55,0)</f>
        <v>0.95486111111111116</v>
      </c>
      <c r="C16" s="8">
        <f>TIME(23,10,0)</f>
        <v>0.96527777777777779</v>
      </c>
      <c r="D16" s="8">
        <f>TIME(23,10,0)</f>
        <v>0.96527777777777779</v>
      </c>
      <c r="E16" s="8">
        <f>TIME(23,10,0)</f>
        <v>0.96527777777777779</v>
      </c>
      <c r="F16" s="8">
        <f>TIME(23,25,0)</f>
        <v>0.97569444444444453</v>
      </c>
      <c r="G16" s="9">
        <f t="shared" si="0"/>
        <v>0.94444444444444453</v>
      </c>
      <c r="H16" s="9">
        <f t="shared" si="0"/>
        <v>0.95486111111111116</v>
      </c>
      <c r="I16" s="9">
        <f t="shared" si="0"/>
        <v>0.95486111111111116</v>
      </c>
      <c r="J16" s="9">
        <f t="shared" si="0"/>
        <v>0.95486111111111116</v>
      </c>
      <c r="K16" s="27">
        <f t="shared" si="0"/>
        <v>0.9652777777777779</v>
      </c>
      <c r="L16" s="26">
        <f t="shared" si="0"/>
        <v>0.9340277777777779</v>
      </c>
      <c r="M16" s="10">
        <f t="shared" si="1"/>
        <v>0.94444444444444453</v>
      </c>
      <c r="N16" s="10">
        <f t="shared" si="1"/>
        <v>0.94444444444444453</v>
      </c>
      <c r="O16" s="10">
        <f t="shared" si="1"/>
        <v>0.94444444444444453</v>
      </c>
      <c r="P16" s="10">
        <f t="shared" si="1"/>
        <v>0.95486111111111127</v>
      </c>
    </row>
    <row r="20" spans="1:20" x14ac:dyDescent="0.3">
      <c r="G20" s="89" t="s">
        <v>27</v>
      </c>
    </row>
    <row r="21" spans="1:20" ht="30" customHeight="1" x14ac:dyDescent="0.3">
      <c r="A21" s="98" t="s">
        <v>0</v>
      </c>
      <c r="B21" s="99" t="s">
        <v>37</v>
      </c>
      <c r="C21" s="99" t="s">
        <v>38</v>
      </c>
      <c r="D21" s="99" t="s">
        <v>39</v>
      </c>
      <c r="E21" s="99" t="s">
        <v>40</v>
      </c>
      <c r="F21" s="99" t="s">
        <v>41</v>
      </c>
      <c r="G21" s="99" t="s">
        <v>42</v>
      </c>
      <c r="H21" s="100" t="s">
        <v>42</v>
      </c>
      <c r="I21" s="100" t="s">
        <v>41</v>
      </c>
      <c r="J21" s="100" t="s">
        <v>40</v>
      </c>
      <c r="K21" s="100" t="s">
        <v>39</v>
      </c>
      <c r="L21" s="100" t="s">
        <v>38</v>
      </c>
      <c r="M21" s="100" t="s">
        <v>37</v>
      </c>
      <c r="N21" s="101" t="s">
        <v>0</v>
      </c>
      <c r="O21" s="36" t="s">
        <v>12</v>
      </c>
      <c r="P21" s="36" t="s">
        <v>13</v>
      </c>
      <c r="R21" s="109" t="s">
        <v>26</v>
      </c>
      <c r="S21" s="110"/>
      <c r="T21" s="111"/>
    </row>
    <row r="22" spans="1:20" x14ac:dyDescent="0.3">
      <c r="A22" s="90">
        <f>TIME(4,59,0)</f>
        <v>0.2076388888888889</v>
      </c>
      <c r="B22" s="90">
        <f t="shared" ref="B22:B26" si="2">A22+TIME(0,13,0)</f>
        <v>0.21666666666666667</v>
      </c>
      <c r="C22" s="90">
        <f t="shared" ref="C22:C26" si="3">B22+TIME(0,10,0)</f>
        <v>0.22361111111111112</v>
      </c>
      <c r="D22" s="90">
        <f t="shared" ref="D22:D26" si="4">C22+TIME(0,6,0)</f>
        <v>0.2277777777777778</v>
      </c>
      <c r="E22" s="90">
        <f t="shared" ref="E22:E26" si="5">D22+TIME(0,8,0)</f>
        <v>0.23333333333333336</v>
      </c>
      <c r="F22" s="90">
        <f t="shared" ref="F22:F26" si="6">E22+TIME(0,17,0)</f>
        <v>0.24513888888888891</v>
      </c>
      <c r="G22" s="90">
        <f t="shared" ref="G22:G26" si="7">F22+TIME(0,26,0)</f>
        <v>0.26319444444444445</v>
      </c>
      <c r="H22" s="91">
        <f t="shared" ref="H22:H26" si="8">G22+TIME(0,10,0)</f>
        <v>0.27013888888888887</v>
      </c>
      <c r="I22" s="91">
        <f t="shared" ref="I22:I26" si="9">H22+TIME(0,26,0)</f>
        <v>0.28819444444444442</v>
      </c>
      <c r="J22" s="91">
        <f t="shared" ref="J22:J26" si="10">I22+TIME(0,17,0)</f>
        <v>0.3</v>
      </c>
      <c r="K22" s="91">
        <f t="shared" ref="K22:K26" si="11">J22+TIME(0,8,0)</f>
        <v>0.30555555555555552</v>
      </c>
      <c r="L22" s="91">
        <f t="shared" ref="L22:L26" si="12">K22+TIME(0,6,0)</f>
        <v>0.30972222222222218</v>
      </c>
      <c r="M22" s="91">
        <f t="shared" ref="M22:M26" si="13">L22+TIME(0,10,0)</f>
        <v>0.3166666666666666</v>
      </c>
      <c r="N22" s="92">
        <f t="shared" ref="N22:N26" si="14">M22+TIME(0,13,0)</f>
        <v>0.3256944444444444</v>
      </c>
      <c r="O22" s="36">
        <v>1</v>
      </c>
      <c r="P22" s="36">
        <v>3</v>
      </c>
      <c r="R22" s="113">
        <v>0.3125</v>
      </c>
      <c r="S22" s="37">
        <v>1</v>
      </c>
      <c r="T22" s="37">
        <v>3</v>
      </c>
    </row>
    <row r="23" spans="1:20" x14ac:dyDescent="0.3">
      <c r="A23" s="90">
        <f t="shared" ref="A23:A26" si="15">A22+TIME(0,180,0)</f>
        <v>0.33263888888888893</v>
      </c>
      <c r="B23" s="90">
        <f t="shared" si="2"/>
        <v>0.34166666666666673</v>
      </c>
      <c r="C23" s="90">
        <f t="shared" si="3"/>
        <v>0.34861111111111115</v>
      </c>
      <c r="D23" s="90">
        <f t="shared" si="4"/>
        <v>0.3527777777777778</v>
      </c>
      <c r="E23" s="90">
        <f t="shared" si="5"/>
        <v>0.35833333333333334</v>
      </c>
      <c r="F23" s="90">
        <f t="shared" si="6"/>
        <v>0.37013888888888891</v>
      </c>
      <c r="G23" s="90">
        <f t="shared" si="7"/>
        <v>0.38819444444444445</v>
      </c>
      <c r="H23" s="91">
        <f t="shared" si="8"/>
        <v>0.39513888888888887</v>
      </c>
      <c r="I23" s="91">
        <f t="shared" si="9"/>
        <v>0.41319444444444442</v>
      </c>
      <c r="J23" s="91">
        <f t="shared" si="10"/>
        <v>0.42499999999999999</v>
      </c>
      <c r="K23" s="91">
        <f t="shared" si="11"/>
        <v>0.43055555555555552</v>
      </c>
      <c r="L23" s="91">
        <f t="shared" si="12"/>
        <v>0.43472222222222218</v>
      </c>
      <c r="M23" s="91">
        <f t="shared" si="13"/>
        <v>0.4416666666666666</v>
      </c>
      <c r="N23" s="92">
        <f t="shared" si="14"/>
        <v>0.4506944444444444</v>
      </c>
      <c r="O23" s="36">
        <v>1</v>
      </c>
      <c r="P23" s="36">
        <v>5</v>
      </c>
      <c r="R23" s="113">
        <v>0.4375</v>
      </c>
      <c r="S23" s="37">
        <v>1</v>
      </c>
      <c r="T23" s="37">
        <v>5</v>
      </c>
    </row>
    <row r="24" spans="1:20" x14ac:dyDescent="0.3">
      <c r="A24" s="90">
        <f t="shared" si="15"/>
        <v>0.45763888888888893</v>
      </c>
      <c r="B24" s="90">
        <f t="shared" si="2"/>
        <v>0.46666666666666673</v>
      </c>
      <c r="C24" s="90">
        <f t="shared" si="3"/>
        <v>0.47361111111111115</v>
      </c>
      <c r="D24" s="90">
        <f t="shared" si="4"/>
        <v>0.4777777777777778</v>
      </c>
      <c r="E24" s="90">
        <f t="shared" si="5"/>
        <v>0.48333333333333334</v>
      </c>
      <c r="F24" s="90">
        <f t="shared" si="6"/>
        <v>0.49513888888888891</v>
      </c>
      <c r="G24" s="90">
        <f t="shared" si="7"/>
        <v>0.51319444444444451</v>
      </c>
      <c r="H24" s="91">
        <f t="shared" si="8"/>
        <v>0.52013888888888893</v>
      </c>
      <c r="I24" s="91">
        <f t="shared" si="9"/>
        <v>0.53819444444444453</v>
      </c>
      <c r="J24" s="91">
        <f t="shared" si="10"/>
        <v>0.55000000000000004</v>
      </c>
      <c r="K24" s="91">
        <f t="shared" si="11"/>
        <v>0.55555555555555558</v>
      </c>
      <c r="L24" s="91">
        <f t="shared" si="12"/>
        <v>0.55972222222222223</v>
      </c>
      <c r="M24" s="91">
        <f t="shared" si="13"/>
        <v>0.56666666666666665</v>
      </c>
      <c r="N24" s="92">
        <f t="shared" si="14"/>
        <v>0.5756944444444444</v>
      </c>
      <c r="O24" s="36">
        <v>1</v>
      </c>
      <c r="P24" s="36">
        <v>8</v>
      </c>
      <c r="R24" s="113">
        <v>0.5625</v>
      </c>
      <c r="S24" s="37">
        <v>1</v>
      </c>
      <c r="T24" s="37">
        <v>8</v>
      </c>
    </row>
    <row r="25" spans="1:20" x14ac:dyDescent="0.3">
      <c r="A25" s="90">
        <f t="shared" si="15"/>
        <v>0.58263888888888893</v>
      </c>
      <c r="B25" s="90">
        <f t="shared" si="2"/>
        <v>0.59166666666666667</v>
      </c>
      <c r="C25" s="90">
        <f t="shared" si="3"/>
        <v>0.59861111111111109</v>
      </c>
      <c r="D25" s="90">
        <f t="shared" si="4"/>
        <v>0.60277777777777775</v>
      </c>
      <c r="E25" s="90">
        <f t="shared" si="5"/>
        <v>0.60833333333333328</v>
      </c>
      <c r="F25" s="90">
        <f t="shared" si="6"/>
        <v>0.6201388888888888</v>
      </c>
      <c r="G25" s="90">
        <f t="shared" si="7"/>
        <v>0.6381944444444444</v>
      </c>
      <c r="H25" s="91">
        <f t="shared" si="8"/>
        <v>0.64513888888888882</v>
      </c>
      <c r="I25" s="91">
        <f t="shared" si="9"/>
        <v>0.66319444444444442</v>
      </c>
      <c r="J25" s="91">
        <f t="shared" si="10"/>
        <v>0.67499999999999993</v>
      </c>
      <c r="K25" s="91">
        <f t="shared" si="11"/>
        <v>0.68055555555555547</v>
      </c>
      <c r="L25" s="91">
        <f t="shared" si="12"/>
        <v>0.68472222222222212</v>
      </c>
      <c r="M25" s="91">
        <f t="shared" si="13"/>
        <v>0.69166666666666654</v>
      </c>
      <c r="N25" s="92">
        <f t="shared" si="14"/>
        <v>0.70069444444444429</v>
      </c>
      <c r="O25" s="36">
        <v>1</v>
      </c>
      <c r="P25" s="36">
        <v>10</v>
      </c>
      <c r="R25" s="113">
        <v>0.6875</v>
      </c>
      <c r="S25" s="37">
        <v>1</v>
      </c>
      <c r="T25" s="37">
        <v>10</v>
      </c>
    </row>
    <row r="26" spans="1:20" x14ac:dyDescent="0.3">
      <c r="A26" s="90">
        <f t="shared" si="15"/>
        <v>0.70763888888888893</v>
      </c>
      <c r="B26" s="90">
        <f t="shared" si="2"/>
        <v>0.71666666666666667</v>
      </c>
      <c r="C26" s="90">
        <f t="shared" si="3"/>
        <v>0.72361111111111109</v>
      </c>
      <c r="D26" s="90">
        <f t="shared" si="4"/>
        <v>0.72777777777777775</v>
      </c>
      <c r="E26" s="90">
        <f t="shared" si="5"/>
        <v>0.73333333333333328</v>
      </c>
      <c r="F26" s="90">
        <f t="shared" si="6"/>
        <v>0.7451388888888888</v>
      </c>
      <c r="G26" s="90">
        <f t="shared" si="7"/>
        <v>0.7631944444444444</v>
      </c>
      <c r="H26" s="91">
        <f t="shared" si="8"/>
        <v>0.77013888888888882</v>
      </c>
      <c r="I26" s="91">
        <f t="shared" si="9"/>
        <v>0.78819444444444442</v>
      </c>
      <c r="J26" s="91">
        <f t="shared" si="10"/>
        <v>0.79999999999999993</v>
      </c>
      <c r="K26" s="91">
        <f t="shared" si="11"/>
        <v>0.80555555555555547</v>
      </c>
      <c r="L26" s="91">
        <f t="shared" si="12"/>
        <v>0.80972222222222212</v>
      </c>
      <c r="M26" s="91">
        <f t="shared" si="13"/>
        <v>0.81666666666666654</v>
      </c>
      <c r="N26" s="92">
        <f t="shared" si="14"/>
        <v>0.82569444444444429</v>
      </c>
      <c r="O26" s="36">
        <v>1</v>
      </c>
      <c r="P26" s="36">
        <v>13</v>
      </c>
      <c r="R26" s="113">
        <v>0.8125</v>
      </c>
      <c r="S26" s="37">
        <v>1</v>
      </c>
      <c r="T26" s="37">
        <v>12</v>
      </c>
    </row>
    <row r="27" spans="1:20" x14ac:dyDescent="0.3">
      <c r="A27" s="52"/>
      <c r="B27" s="52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105"/>
      <c r="P27" s="105"/>
    </row>
    <row r="28" spans="1:20" x14ac:dyDescent="0.3">
      <c r="A28" s="52"/>
      <c r="B28" s="52"/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105"/>
      <c r="P28" s="105"/>
    </row>
    <row r="29" spans="1:20" x14ac:dyDescent="0.3">
      <c r="A29" s="52"/>
      <c r="B29" s="52"/>
      <c r="C29" s="52"/>
      <c r="D29" s="52"/>
      <c r="E29" s="52"/>
      <c r="F29" s="52"/>
      <c r="G29" s="89" t="s">
        <v>21</v>
      </c>
      <c r="H29" s="52"/>
      <c r="I29" s="52"/>
      <c r="J29" s="52"/>
      <c r="K29" s="52"/>
      <c r="L29" s="52"/>
      <c r="M29" s="52"/>
      <c r="N29" s="52"/>
      <c r="O29" s="105"/>
      <c r="P29" s="105"/>
    </row>
    <row r="30" spans="1:20" ht="30" customHeight="1" x14ac:dyDescent="0.3">
      <c r="A30" s="102" t="s">
        <v>0</v>
      </c>
      <c r="B30" s="99" t="s">
        <v>37</v>
      </c>
      <c r="C30" s="99" t="s">
        <v>38</v>
      </c>
      <c r="D30" s="99" t="s">
        <v>39</v>
      </c>
      <c r="E30" s="99" t="s">
        <v>40</v>
      </c>
      <c r="F30" s="99" t="s">
        <v>41</v>
      </c>
      <c r="G30" s="99" t="s">
        <v>42</v>
      </c>
      <c r="H30" s="100" t="s">
        <v>42</v>
      </c>
      <c r="I30" s="100" t="s">
        <v>41</v>
      </c>
      <c r="J30" s="100" t="s">
        <v>40</v>
      </c>
      <c r="K30" s="100" t="s">
        <v>39</v>
      </c>
      <c r="L30" s="100" t="s">
        <v>38</v>
      </c>
      <c r="M30" s="100" t="s">
        <v>37</v>
      </c>
      <c r="N30" s="101" t="s">
        <v>0</v>
      </c>
      <c r="O30" s="36" t="s">
        <v>12</v>
      </c>
      <c r="P30" s="36" t="s">
        <v>13</v>
      </c>
      <c r="Q30" s="106" t="s">
        <v>25</v>
      </c>
      <c r="R30" s="109" t="s">
        <v>26</v>
      </c>
      <c r="S30" s="110"/>
      <c r="T30" s="111"/>
    </row>
    <row r="31" spans="1:20" x14ac:dyDescent="0.3">
      <c r="A31" s="90">
        <f>TIME(0,20,0)+A22</f>
        <v>0.2215277777777778</v>
      </c>
      <c r="B31" s="90">
        <f t="shared" ref="B31:B35" si="16">A31+TIME(0,13,0)</f>
        <v>0.23055555555555557</v>
      </c>
      <c r="C31" s="90">
        <f t="shared" ref="C31:C35" si="17">B31+TIME(0,10,0)</f>
        <v>0.23750000000000002</v>
      </c>
      <c r="D31" s="90">
        <f t="shared" ref="D31:D35" si="18">C31+TIME(0,6,0)</f>
        <v>0.2416666666666667</v>
      </c>
      <c r="E31" s="90">
        <f t="shared" ref="E31:E35" si="19">D31+TIME(0,8,0)</f>
        <v>0.24722222222222226</v>
      </c>
      <c r="F31" s="90">
        <f t="shared" ref="F31:F35" si="20">E31+TIME(0,17,0)</f>
        <v>0.2590277777777778</v>
      </c>
      <c r="G31" s="90">
        <f t="shared" ref="G31:G35" si="21">F31+TIME(0,26,0)</f>
        <v>0.27708333333333335</v>
      </c>
      <c r="H31" s="91">
        <f t="shared" ref="H31:H35" si="22">G31+TIME(0,10,0)</f>
        <v>0.28402777777777777</v>
      </c>
      <c r="I31" s="91">
        <f t="shared" ref="I31:I35" si="23">H31+TIME(0,26,0)</f>
        <v>0.30208333333333331</v>
      </c>
      <c r="J31" s="91">
        <f t="shared" ref="J31:J35" si="24">I31+TIME(0,17,0)</f>
        <v>0.31388888888888888</v>
      </c>
      <c r="K31" s="91">
        <f t="shared" ref="K31:K35" si="25">J31+TIME(0,8,0)</f>
        <v>0.31944444444444442</v>
      </c>
      <c r="L31" s="91">
        <f t="shared" ref="L31:L35" si="26">K31+TIME(0,6,0)</f>
        <v>0.32361111111111107</v>
      </c>
      <c r="M31" s="91">
        <f t="shared" ref="M31:M35" si="27">L31+TIME(0,10,0)</f>
        <v>0.33055555555555549</v>
      </c>
      <c r="N31" s="97">
        <f t="shared" ref="N31:N35" si="28">M31+TIME(0,13,0)</f>
        <v>0.33958333333333329</v>
      </c>
      <c r="O31" s="36">
        <v>0</v>
      </c>
      <c r="P31" s="36" t="s">
        <v>14</v>
      </c>
      <c r="Q31" s="107">
        <v>9.7222222222222224E-3</v>
      </c>
      <c r="R31" s="112">
        <v>0.3263888888888889</v>
      </c>
      <c r="S31" s="36">
        <v>1</v>
      </c>
      <c r="T31" s="36">
        <v>3</v>
      </c>
    </row>
    <row r="32" spans="1:20" x14ac:dyDescent="0.3">
      <c r="A32" s="90">
        <f t="shared" ref="A32:A35" si="29">A31+TIME(0,180,0)</f>
        <v>0.34652777777777777</v>
      </c>
      <c r="B32" s="90">
        <f t="shared" si="16"/>
        <v>0.35555555555555557</v>
      </c>
      <c r="C32" s="90">
        <f t="shared" si="17"/>
        <v>0.36249999999999999</v>
      </c>
      <c r="D32" s="90">
        <f t="shared" si="18"/>
        <v>0.36666666666666664</v>
      </c>
      <c r="E32" s="90">
        <f t="shared" si="19"/>
        <v>0.37222222222222218</v>
      </c>
      <c r="F32" s="90">
        <f t="shared" si="20"/>
        <v>0.38402777777777775</v>
      </c>
      <c r="G32" s="90">
        <f t="shared" si="21"/>
        <v>0.40208333333333329</v>
      </c>
      <c r="H32" s="91">
        <f t="shared" si="22"/>
        <v>0.40902777777777771</v>
      </c>
      <c r="I32" s="91">
        <f t="shared" si="23"/>
        <v>0.42708333333333326</v>
      </c>
      <c r="J32" s="91">
        <f t="shared" si="24"/>
        <v>0.43888888888888883</v>
      </c>
      <c r="K32" s="91">
        <f t="shared" si="25"/>
        <v>0.44444444444444436</v>
      </c>
      <c r="L32" s="91">
        <f t="shared" si="26"/>
        <v>0.44861111111111102</v>
      </c>
      <c r="M32" s="91">
        <f t="shared" si="27"/>
        <v>0.45555555555555544</v>
      </c>
      <c r="N32" s="97">
        <f t="shared" si="28"/>
        <v>0.46458333333333324</v>
      </c>
      <c r="O32" s="36">
        <v>1</v>
      </c>
      <c r="P32" s="36">
        <v>6</v>
      </c>
      <c r="Q32" s="107"/>
      <c r="R32" s="112">
        <v>0.4513888888888889</v>
      </c>
      <c r="S32" s="36">
        <v>1</v>
      </c>
      <c r="T32" s="36">
        <v>5</v>
      </c>
    </row>
    <row r="33" spans="1:28" x14ac:dyDescent="0.3">
      <c r="A33" s="90">
        <f t="shared" si="29"/>
        <v>0.47152777777777777</v>
      </c>
      <c r="B33" s="90">
        <f t="shared" si="16"/>
        <v>0.48055555555555557</v>
      </c>
      <c r="C33" s="90">
        <f t="shared" si="17"/>
        <v>0.48749999999999999</v>
      </c>
      <c r="D33" s="90">
        <f t="shared" si="18"/>
        <v>0.49166666666666664</v>
      </c>
      <c r="E33" s="90">
        <f t="shared" si="19"/>
        <v>0.49722222222222218</v>
      </c>
      <c r="F33" s="90">
        <f t="shared" si="20"/>
        <v>0.50902777777777775</v>
      </c>
      <c r="G33" s="90">
        <f t="shared" si="21"/>
        <v>0.52708333333333335</v>
      </c>
      <c r="H33" s="91">
        <f t="shared" si="22"/>
        <v>0.53402777777777777</v>
      </c>
      <c r="I33" s="91">
        <f t="shared" si="23"/>
        <v>0.55208333333333337</v>
      </c>
      <c r="J33" s="91">
        <f t="shared" si="24"/>
        <v>0.56388888888888888</v>
      </c>
      <c r="K33" s="91">
        <f t="shared" si="25"/>
        <v>0.56944444444444442</v>
      </c>
      <c r="L33" s="91">
        <f t="shared" si="26"/>
        <v>0.57361111111111107</v>
      </c>
      <c r="M33" s="91">
        <f t="shared" si="27"/>
        <v>0.58055555555555549</v>
      </c>
      <c r="N33" s="97">
        <f t="shared" si="28"/>
        <v>0.58958333333333324</v>
      </c>
      <c r="O33" s="36">
        <v>1</v>
      </c>
      <c r="P33" s="36">
        <v>8</v>
      </c>
      <c r="Q33" s="107"/>
      <c r="R33" s="112">
        <v>0.57638888888888895</v>
      </c>
      <c r="S33" s="36">
        <v>1</v>
      </c>
      <c r="T33" s="36">
        <v>8</v>
      </c>
    </row>
    <row r="34" spans="1:28" x14ac:dyDescent="0.3">
      <c r="A34" s="90">
        <f t="shared" si="29"/>
        <v>0.59652777777777777</v>
      </c>
      <c r="B34" s="90">
        <f t="shared" si="16"/>
        <v>0.60555555555555551</v>
      </c>
      <c r="C34" s="90">
        <f t="shared" si="17"/>
        <v>0.61249999999999993</v>
      </c>
      <c r="D34" s="90">
        <f t="shared" si="18"/>
        <v>0.61666666666666659</v>
      </c>
      <c r="E34" s="90">
        <f t="shared" si="19"/>
        <v>0.62222222222222212</v>
      </c>
      <c r="F34" s="90">
        <f t="shared" si="20"/>
        <v>0.63402777777777763</v>
      </c>
      <c r="G34" s="90">
        <f t="shared" si="21"/>
        <v>0.65208333333333324</v>
      </c>
      <c r="H34" s="91">
        <f t="shared" si="22"/>
        <v>0.65902777777777766</v>
      </c>
      <c r="I34" s="91">
        <f t="shared" si="23"/>
        <v>0.67708333333333326</v>
      </c>
      <c r="J34" s="91">
        <f t="shared" si="24"/>
        <v>0.68888888888888877</v>
      </c>
      <c r="K34" s="91">
        <f t="shared" si="25"/>
        <v>0.69444444444444431</v>
      </c>
      <c r="L34" s="91">
        <f t="shared" si="26"/>
        <v>0.69861111111111096</v>
      </c>
      <c r="M34" s="91">
        <f t="shared" si="27"/>
        <v>0.70555555555555538</v>
      </c>
      <c r="N34" s="97">
        <f t="shared" si="28"/>
        <v>0.71458333333333313</v>
      </c>
      <c r="O34" s="36">
        <v>1</v>
      </c>
      <c r="P34" s="36">
        <v>10</v>
      </c>
      <c r="Q34" s="107"/>
      <c r="R34" s="112">
        <v>0.70138888888888884</v>
      </c>
      <c r="S34" s="36">
        <v>1</v>
      </c>
      <c r="T34" s="36">
        <v>10</v>
      </c>
    </row>
    <row r="35" spans="1:28" x14ac:dyDescent="0.3">
      <c r="A35" s="90">
        <f t="shared" si="29"/>
        <v>0.72152777777777777</v>
      </c>
      <c r="B35" s="90">
        <f t="shared" si="16"/>
        <v>0.73055555555555551</v>
      </c>
      <c r="C35" s="90">
        <f t="shared" si="17"/>
        <v>0.73749999999999993</v>
      </c>
      <c r="D35" s="90">
        <f t="shared" si="18"/>
        <v>0.74166666666666659</v>
      </c>
      <c r="E35" s="90">
        <f t="shared" si="19"/>
        <v>0.74722222222222212</v>
      </c>
      <c r="F35" s="90">
        <f t="shared" si="20"/>
        <v>0.75902777777777763</v>
      </c>
      <c r="G35" s="90">
        <f t="shared" si="21"/>
        <v>0.77708333333333324</v>
      </c>
      <c r="H35" s="91">
        <f t="shared" si="22"/>
        <v>0.78402777777777766</v>
      </c>
      <c r="I35" s="91">
        <f t="shared" si="23"/>
        <v>0.80208333333333326</v>
      </c>
      <c r="J35" s="91">
        <f t="shared" si="24"/>
        <v>0.81388888888888877</v>
      </c>
      <c r="K35" s="91">
        <f t="shared" si="25"/>
        <v>0.81944444444444431</v>
      </c>
      <c r="L35" s="91">
        <f t="shared" si="26"/>
        <v>0.82361111111111096</v>
      </c>
      <c r="M35" s="91">
        <f t="shared" si="27"/>
        <v>0.83055555555555538</v>
      </c>
      <c r="N35" s="97">
        <f t="shared" si="28"/>
        <v>0.83958333333333313</v>
      </c>
      <c r="O35" s="36">
        <v>1</v>
      </c>
      <c r="P35" s="36">
        <v>13</v>
      </c>
      <c r="Q35" s="107"/>
      <c r="R35" s="112">
        <v>0.82638888888888884</v>
      </c>
      <c r="S35" s="36">
        <v>1</v>
      </c>
      <c r="T35" s="36">
        <v>13</v>
      </c>
    </row>
    <row r="36" spans="1:28" x14ac:dyDescent="0.3">
      <c r="A36" s="52"/>
      <c r="B36" s="52"/>
      <c r="C36" s="52"/>
      <c r="D36" s="52"/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105"/>
      <c r="P36" s="105"/>
      <c r="Q36" s="62"/>
    </row>
    <row r="37" spans="1:28" x14ac:dyDescent="0.3">
      <c r="A37" s="52"/>
      <c r="B37" s="52"/>
      <c r="C37" s="52"/>
      <c r="D37" s="52"/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105"/>
      <c r="P37" s="105"/>
      <c r="Q37" s="62"/>
    </row>
    <row r="38" spans="1:28" x14ac:dyDescent="0.3">
      <c r="A38" s="52"/>
      <c r="B38" s="52"/>
      <c r="C38" s="52"/>
      <c r="D38" s="52"/>
      <c r="E38" s="52"/>
      <c r="F38" s="52"/>
      <c r="G38" s="89" t="s">
        <v>22</v>
      </c>
      <c r="H38" s="52"/>
      <c r="I38" s="52"/>
      <c r="J38" s="52"/>
      <c r="K38" s="52"/>
      <c r="L38" s="52"/>
      <c r="M38" s="52"/>
      <c r="N38" s="52"/>
      <c r="O38" s="105"/>
      <c r="P38" s="105"/>
      <c r="Q38" s="62"/>
    </row>
    <row r="39" spans="1:28" ht="30" customHeight="1" x14ac:dyDescent="0.3">
      <c r="A39" s="102" t="s">
        <v>0</v>
      </c>
      <c r="B39" s="99" t="s">
        <v>37</v>
      </c>
      <c r="C39" s="99" t="s">
        <v>38</v>
      </c>
      <c r="D39" s="99" t="s">
        <v>39</v>
      </c>
      <c r="E39" s="99" t="s">
        <v>40</v>
      </c>
      <c r="F39" s="99" t="s">
        <v>41</v>
      </c>
      <c r="G39" s="99" t="s">
        <v>42</v>
      </c>
      <c r="H39" s="100" t="s">
        <v>42</v>
      </c>
      <c r="I39" s="100" t="s">
        <v>41</v>
      </c>
      <c r="J39" s="100" t="s">
        <v>40</v>
      </c>
      <c r="K39" s="100" t="s">
        <v>39</v>
      </c>
      <c r="L39" s="100" t="s">
        <v>38</v>
      </c>
      <c r="M39" s="100" t="s">
        <v>37</v>
      </c>
      <c r="N39" s="101" t="s">
        <v>0</v>
      </c>
      <c r="O39" s="36" t="s">
        <v>12</v>
      </c>
      <c r="P39" s="36" t="s">
        <v>13</v>
      </c>
      <c r="Q39" s="107" t="s">
        <v>25</v>
      </c>
      <c r="R39" s="109" t="s">
        <v>55</v>
      </c>
      <c r="S39" s="110"/>
      <c r="T39" s="111"/>
      <c r="U39" s="36" t="s">
        <v>46</v>
      </c>
      <c r="V39" s="109" t="s">
        <v>47</v>
      </c>
      <c r="W39" s="110"/>
      <c r="X39" s="111"/>
      <c r="Y39" s="36" t="s">
        <v>56</v>
      </c>
      <c r="Z39" s="36" t="s">
        <v>52</v>
      </c>
      <c r="AA39" s="36" t="s">
        <v>12</v>
      </c>
      <c r="AB39" s="36" t="s">
        <v>13</v>
      </c>
    </row>
    <row r="40" spans="1:28" x14ac:dyDescent="0.3">
      <c r="A40" s="90">
        <f>TIME(0,20,0)+A31</f>
        <v>0.23541666666666669</v>
      </c>
      <c r="B40" s="90">
        <f t="shared" ref="B40:B44" si="30">A40+TIME(0,13,0)</f>
        <v>0.24444444444444446</v>
      </c>
      <c r="C40" s="90">
        <f t="shared" ref="C40:C44" si="31">B40+TIME(0,10,0)</f>
        <v>0.25138888888888888</v>
      </c>
      <c r="D40" s="90">
        <f t="shared" ref="D40:D44" si="32">C40+TIME(0,6,0)</f>
        <v>0.25555555555555554</v>
      </c>
      <c r="E40" s="90">
        <f t="shared" ref="E40:E44" si="33">D40+TIME(0,8,0)</f>
        <v>0.26111111111111107</v>
      </c>
      <c r="F40" s="90">
        <f t="shared" ref="F40:F44" si="34">E40+TIME(0,17,0)</f>
        <v>0.27291666666666664</v>
      </c>
      <c r="G40" s="90">
        <f t="shared" ref="G40:G44" si="35">F40+TIME(0,26,0)</f>
        <v>0.29097222222222219</v>
      </c>
      <c r="H40" s="91">
        <f t="shared" ref="H40:H44" si="36">G40+TIME(0,10,0)</f>
        <v>0.29791666666666661</v>
      </c>
      <c r="I40" s="91">
        <f t="shared" ref="I40:I44" si="37">H40+TIME(0,26,0)</f>
        <v>0.31597222222222215</v>
      </c>
      <c r="J40" s="91">
        <f t="shared" ref="J40:J44" si="38">I40+TIME(0,17,0)</f>
        <v>0.32777777777777772</v>
      </c>
      <c r="K40" s="91">
        <f t="shared" ref="K40:K44" si="39">J40+TIME(0,8,0)</f>
        <v>0.33333333333333326</v>
      </c>
      <c r="L40" s="91">
        <f t="shared" ref="L40:L44" si="40">K40+TIME(0,6,0)</f>
        <v>0.33749999999999991</v>
      </c>
      <c r="M40" s="91">
        <f t="shared" ref="M40:M44" si="41">L40+TIME(0,10,0)</f>
        <v>0.34444444444444433</v>
      </c>
      <c r="N40" s="92">
        <f>M40+TIME(0,13,0)</f>
        <v>0.35347222222222213</v>
      </c>
      <c r="O40" s="36">
        <v>0</v>
      </c>
      <c r="P40" s="36" t="s">
        <v>14</v>
      </c>
      <c r="Q40" s="107">
        <v>2.361111111111111E-2</v>
      </c>
      <c r="R40" s="108">
        <v>0.34027777777777773</v>
      </c>
      <c r="S40" s="36">
        <v>0</v>
      </c>
      <c r="T40" s="36" t="s">
        <v>14</v>
      </c>
      <c r="U40" s="66">
        <v>1.0416666666666666E-2</v>
      </c>
      <c r="V40" s="38">
        <v>0.33402777777777781</v>
      </c>
      <c r="W40" s="37">
        <v>0</v>
      </c>
      <c r="X40" s="37" t="s">
        <v>14</v>
      </c>
      <c r="Y40" s="107">
        <v>4.1666666666666666E-3</v>
      </c>
      <c r="Z40" s="112">
        <v>0.32986111111111116</v>
      </c>
      <c r="AA40" s="36">
        <v>0</v>
      </c>
      <c r="AB40" s="36" t="s">
        <v>14</v>
      </c>
    </row>
    <row r="41" spans="1:28" x14ac:dyDescent="0.3">
      <c r="A41" s="90">
        <f t="shared" ref="A41:A44" si="42">A40+TIME(0,180,0)</f>
        <v>0.36041666666666672</v>
      </c>
      <c r="B41" s="90">
        <f t="shared" si="30"/>
        <v>0.36944444444444452</v>
      </c>
      <c r="C41" s="90">
        <f t="shared" si="31"/>
        <v>0.37638888888888894</v>
      </c>
      <c r="D41" s="90">
        <f t="shared" si="32"/>
        <v>0.38055555555555559</v>
      </c>
      <c r="E41" s="90">
        <f t="shared" si="33"/>
        <v>0.38611111111111113</v>
      </c>
      <c r="F41" s="90">
        <f t="shared" si="34"/>
        <v>0.3979166666666667</v>
      </c>
      <c r="G41" s="90">
        <f t="shared" si="35"/>
        <v>0.41597222222222224</v>
      </c>
      <c r="H41" s="91">
        <f t="shared" si="36"/>
        <v>0.42291666666666666</v>
      </c>
      <c r="I41" s="91">
        <f t="shared" si="37"/>
        <v>0.44097222222222221</v>
      </c>
      <c r="J41" s="91">
        <f t="shared" si="38"/>
        <v>0.45277777777777778</v>
      </c>
      <c r="K41" s="91">
        <f t="shared" si="39"/>
        <v>0.45833333333333331</v>
      </c>
      <c r="L41" s="91">
        <f t="shared" si="40"/>
        <v>0.46249999999999997</v>
      </c>
      <c r="M41" s="91">
        <f t="shared" si="41"/>
        <v>0.46944444444444439</v>
      </c>
      <c r="N41" s="92">
        <f t="shared" ref="N41:N44" si="43">M41+TIME(0,13,0)</f>
        <v>0.47847222222222219</v>
      </c>
      <c r="O41" s="36">
        <v>1</v>
      </c>
      <c r="P41" s="36">
        <v>6</v>
      </c>
      <c r="Q41" s="107"/>
      <c r="R41" s="108">
        <v>0.46527777777777773</v>
      </c>
      <c r="S41" s="36">
        <v>1</v>
      </c>
      <c r="T41" s="36">
        <v>6</v>
      </c>
      <c r="U41" s="37"/>
      <c r="V41" s="38">
        <v>0.45902777777777781</v>
      </c>
      <c r="W41" s="37">
        <v>1</v>
      </c>
      <c r="X41" s="37">
        <v>6</v>
      </c>
      <c r="Y41" s="36"/>
      <c r="Z41" s="112">
        <v>0.45902777777777781</v>
      </c>
      <c r="AA41" s="36">
        <v>1</v>
      </c>
      <c r="AB41" s="36">
        <v>6</v>
      </c>
    </row>
    <row r="42" spans="1:28" x14ac:dyDescent="0.3">
      <c r="A42" s="90">
        <f t="shared" si="42"/>
        <v>0.48541666666666672</v>
      </c>
      <c r="B42" s="90">
        <f t="shared" si="30"/>
        <v>0.49444444444444452</v>
      </c>
      <c r="C42" s="90">
        <f t="shared" si="31"/>
        <v>0.50138888888888899</v>
      </c>
      <c r="D42" s="90">
        <f t="shared" si="32"/>
        <v>0.50555555555555565</v>
      </c>
      <c r="E42" s="90">
        <f t="shared" si="33"/>
        <v>0.51111111111111118</v>
      </c>
      <c r="F42" s="90">
        <f t="shared" si="34"/>
        <v>0.5229166666666667</v>
      </c>
      <c r="G42" s="90">
        <f t="shared" si="35"/>
        <v>0.5409722222222223</v>
      </c>
      <c r="H42" s="91">
        <f t="shared" si="36"/>
        <v>0.54791666666666672</v>
      </c>
      <c r="I42" s="91">
        <f t="shared" si="37"/>
        <v>0.56597222222222232</v>
      </c>
      <c r="J42" s="91">
        <f t="shared" si="38"/>
        <v>0.57777777777777783</v>
      </c>
      <c r="K42" s="91">
        <f t="shared" si="39"/>
        <v>0.58333333333333337</v>
      </c>
      <c r="L42" s="91">
        <f t="shared" si="40"/>
        <v>0.58750000000000002</v>
      </c>
      <c r="M42" s="91">
        <f t="shared" si="41"/>
        <v>0.59444444444444444</v>
      </c>
      <c r="N42" s="92">
        <f t="shared" si="43"/>
        <v>0.60347222222222219</v>
      </c>
      <c r="O42" s="36">
        <v>1</v>
      </c>
      <c r="P42" s="36">
        <v>8</v>
      </c>
      <c r="Q42" s="107"/>
      <c r="R42" s="108">
        <v>0.59027777777777779</v>
      </c>
      <c r="S42" s="36">
        <v>1</v>
      </c>
      <c r="T42" s="36">
        <v>8</v>
      </c>
      <c r="U42" s="37"/>
      <c r="V42" s="38">
        <v>0.58402777777777781</v>
      </c>
      <c r="W42" s="37">
        <v>1</v>
      </c>
      <c r="X42" s="37">
        <v>8</v>
      </c>
      <c r="Y42" s="36"/>
      <c r="Z42" s="112">
        <v>0.58402777777777781</v>
      </c>
      <c r="AA42" s="36">
        <v>1</v>
      </c>
      <c r="AB42" s="36">
        <v>8</v>
      </c>
    </row>
    <row r="43" spans="1:28" x14ac:dyDescent="0.3">
      <c r="A43" s="90">
        <f t="shared" si="42"/>
        <v>0.61041666666666672</v>
      </c>
      <c r="B43" s="90">
        <f t="shared" si="30"/>
        <v>0.61944444444444446</v>
      </c>
      <c r="C43" s="90">
        <f t="shared" si="31"/>
        <v>0.62638888888888888</v>
      </c>
      <c r="D43" s="90">
        <f t="shared" si="32"/>
        <v>0.63055555555555554</v>
      </c>
      <c r="E43" s="90">
        <f t="shared" si="33"/>
        <v>0.63611111111111107</v>
      </c>
      <c r="F43" s="90">
        <f t="shared" si="34"/>
        <v>0.64791666666666659</v>
      </c>
      <c r="G43" s="90">
        <f t="shared" si="35"/>
        <v>0.66597222222222219</v>
      </c>
      <c r="H43" s="91">
        <f t="shared" si="36"/>
        <v>0.67291666666666661</v>
      </c>
      <c r="I43" s="91">
        <f t="shared" si="37"/>
        <v>0.69097222222222221</v>
      </c>
      <c r="J43" s="91">
        <f t="shared" si="38"/>
        <v>0.70277777777777772</v>
      </c>
      <c r="K43" s="91">
        <f t="shared" si="39"/>
        <v>0.70833333333333326</v>
      </c>
      <c r="L43" s="91">
        <f t="shared" si="40"/>
        <v>0.71249999999999991</v>
      </c>
      <c r="M43" s="91">
        <f t="shared" si="41"/>
        <v>0.71944444444444433</v>
      </c>
      <c r="N43" s="92">
        <f t="shared" si="43"/>
        <v>0.72847222222222208</v>
      </c>
      <c r="O43" s="36">
        <v>1</v>
      </c>
      <c r="P43" s="36">
        <v>11</v>
      </c>
      <c r="Q43" s="107"/>
      <c r="R43" s="108">
        <v>0.71527777777777779</v>
      </c>
      <c r="S43" s="36">
        <v>1</v>
      </c>
      <c r="T43" s="36">
        <v>10</v>
      </c>
      <c r="U43" s="37"/>
      <c r="V43" s="38">
        <v>0.7090277777777777</v>
      </c>
      <c r="W43" s="37">
        <v>1</v>
      </c>
      <c r="X43" s="37">
        <v>10</v>
      </c>
      <c r="Y43" s="36"/>
      <c r="Z43" s="112">
        <v>0.7090277777777777</v>
      </c>
      <c r="AA43" s="36">
        <v>1</v>
      </c>
      <c r="AB43" s="36">
        <v>10</v>
      </c>
    </row>
    <row r="44" spans="1:28" x14ac:dyDescent="0.3">
      <c r="A44" s="90">
        <f t="shared" si="42"/>
        <v>0.73541666666666672</v>
      </c>
      <c r="B44" s="90">
        <f t="shared" si="30"/>
        <v>0.74444444444444446</v>
      </c>
      <c r="C44" s="90">
        <f t="shared" si="31"/>
        <v>0.75138888888888888</v>
      </c>
      <c r="D44" s="90">
        <f t="shared" si="32"/>
        <v>0.75555555555555554</v>
      </c>
      <c r="E44" s="90">
        <f t="shared" si="33"/>
        <v>0.76111111111111107</v>
      </c>
      <c r="F44" s="90">
        <f t="shared" si="34"/>
        <v>0.77291666666666659</v>
      </c>
      <c r="G44" s="90">
        <f t="shared" si="35"/>
        <v>0.79097222222222219</v>
      </c>
      <c r="H44" s="91">
        <f t="shared" si="36"/>
        <v>0.79791666666666661</v>
      </c>
      <c r="I44" s="91">
        <f t="shared" si="37"/>
        <v>0.81597222222222221</v>
      </c>
      <c r="J44" s="91">
        <f t="shared" si="38"/>
        <v>0.82777777777777772</v>
      </c>
      <c r="K44" s="91">
        <f t="shared" si="39"/>
        <v>0.83333333333333326</v>
      </c>
      <c r="L44" s="91">
        <f t="shared" si="40"/>
        <v>0.83749999999999991</v>
      </c>
      <c r="M44" s="91">
        <f t="shared" si="41"/>
        <v>0.84444444444444433</v>
      </c>
      <c r="N44" s="92">
        <f t="shared" si="43"/>
        <v>0.85347222222222208</v>
      </c>
      <c r="O44" s="36">
        <v>1</v>
      </c>
      <c r="P44" s="36">
        <v>13</v>
      </c>
      <c r="Q44" s="107"/>
      <c r="R44" s="108">
        <v>0.84027777777777779</v>
      </c>
      <c r="S44" s="36">
        <v>1</v>
      </c>
      <c r="T44" s="36">
        <v>13</v>
      </c>
      <c r="U44" s="37"/>
      <c r="V44" s="38">
        <v>0.8340277777777777</v>
      </c>
      <c r="W44" s="37">
        <v>1</v>
      </c>
      <c r="X44" s="37">
        <v>13</v>
      </c>
      <c r="Y44" s="36"/>
      <c r="Z44" s="112">
        <v>0.8340277777777777</v>
      </c>
      <c r="AA44" s="36">
        <v>1</v>
      </c>
      <c r="AB44" s="36">
        <v>13</v>
      </c>
    </row>
    <row r="45" spans="1:28" x14ac:dyDescent="0.3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105"/>
      <c r="P45" s="105"/>
      <c r="Q45" s="62"/>
    </row>
    <row r="46" spans="1:28" x14ac:dyDescent="0.3">
      <c r="A46" s="52"/>
      <c r="B46" s="52"/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105"/>
      <c r="P46" s="105"/>
      <c r="Q46" s="62"/>
    </row>
    <row r="47" spans="1:28" x14ac:dyDescent="0.3">
      <c r="A47" s="52"/>
      <c r="B47" s="52"/>
      <c r="C47" s="52"/>
      <c r="D47" s="52"/>
      <c r="E47" s="52"/>
      <c r="F47" s="52"/>
      <c r="G47" s="89" t="s">
        <v>33</v>
      </c>
      <c r="H47" s="52"/>
      <c r="I47" s="52"/>
      <c r="J47" s="52"/>
      <c r="K47" s="52"/>
      <c r="L47" s="52"/>
      <c r="M47" s="52"/>
      <c r="N47" s="52"/>
      <c r="O47" s="105"/>
      <c r="P47" s="105"/>
      <c r="Q47" s="62"/>
    </row>
    <row r="48" spans="1:28" ht="30" customHeight="1" x14ac:dyDescent="0.3">
      <c r="A48" s="102" t="s">
        <v>0</v>
      </c>
      <c r="B48" s="99" t="s">
        <v>37</v>
      </c>
      <c r="C48" s="99" t="s">
        <v>38</v>
      </c>
      <c r="D48" s="99" t="s">
        <v>39</v>
      </c>
      <c r="E48" s="99" t="s">
        <v>40</v>
      </c>
      <c r="F48" s="99" t="s">
        <v>41</v>
      </c>
      <c r="G48" s="99" t="s">
        <v>42</v>
      </c>
      <c r="H48" s="100" t="s">
        <v>42</v>
      </c>
      <c r="I48" s="100" t="s">
        <v>41</v>
      </c>
      <c r="J48" s="100" t="s">
        <v>40</v>
      </c>
      <c r="K48" s="100" t="s">
        <v>39</v>
      </c>
      <c r="L48" s="100" t="s">
        <v>38</v>
      </c>
      <c r="M48" s="100" t="s">
        <v>37</v>
      </c>
      <c r="N48" s="103" t="s">
        <v>0</v>
      </c>
      <c r="O48" s="36" t="s">
        <v>12</v>
      </c>
      <c r="P48" s="36" t="s">
        <v>13</v>
      </c>
      <c r="Q48" s="107" t="s">
        <v>25</v>
      </c>
      <c r="R48" s="109" t="s">
        <v>26</v>
      </c>
      <c r="S48" s="110"/>
      <c r="T48" s="111"/>
    </row>
    <row r="49" spans="1:20" x14ac:dyDescent="0.3">
      <c r="A49" s="90">
        <f>TIME(0,40,0)+A40</f>
        <v>0.26319444444444445</v>
      </c>
      <c r="B49" s="90">
        <f t="shared" ref="B49:B53" si="44">A49+TIME(0,13,0)</f>
        <v>0.27222222222222225</v>
      </c>
      <c r="C49" s="90">
        <f t="shared" ref="C49:C53" si="45">B49+TIME(0,10,0)</f>
        <v>0.27916666666666667</v>
      </c>
      <c r="D49" s="90">
        <f t="shared" ref="D49:D53" si="46">C49+TIME(0,6,0)</f>
        <v>0.28333333333333333</v>
      </c>
      <c r="E49" s="90">
        <f t="shared" ref="E49:E53" si="47">D49+TIME(0,8,0)</f>
        <v>0.28888888888888886</v>
      </c>
      <c r="F49" s="90">
        <f t="shared" ref="F49:F53" si="48">E49+TIME(0,17,0)</f>
        <v>0.30069444444444443</v>
      </c>
      <c r="G49" s="90">
        <f t="shared" ref="G49:G53" si="49">F49+TIME(0,26,0)</f>
        <v>0.31874999999999998</v>
      </c>
      <c r="H49" s="91">
        <f t="shared" ref="H49:H53" si="50">G49+TIME(0,10,0)</f>
        <v>0.3256944444444444</v>
      </c>
      <c r="I49" s="91">
        <f t="shared" ref="I49:I53" si="51">H49+TIME(0,26,0)</f>
        <v>0.34374999999999994</v>
      </c>
      <c r="J49" s="91">
        <f t="shared" ref="J49:J53" si="52">I49+TIME(0,17,0)</f>
        <v>0.35555555555555551</v>
      </c>
      <c r="K49" s="91">
        <f t="shared" ref="K49:K53" si="53">J49+TIME(0,8,0)</f>
        <v>0.36111111111111105</v>
      </c>
      <c r="L49" s="91">
        <f t="shared" ref="L49:L53" si="54">K49+TIME(0,6,0)</f>
        <v>0.3652777777777777</v>
      </c>
      <c r="M49" s="91">
        <f t="shared" ref="M49:M53" si="55">L49+TIME(0,10,0)</f>
        <v>0.37222222222222212</v>
      </c>
      <c r="N49" s="92">
        <f t="shared" ref="N49:N53" si="56">M49+TIME(0,13,0)</f>
        <v>0.38124999999999992</v>
      </c>
      <c r="O49" s="36">
        <v>1</v>
      </c>
      <c r="P49" s="36">
        <v>4</v>
      </c>
      <c r="Q49" s="107"/>
      <c r="R49" s="112">
        <v>0.36805555555555558</v>
      </c>
      <c r="S49" s="36">
        <v>1</v>
      </c>
      <c r="T49" s="36">
        <v>4</v>
      </c>
    </row>
    <row r="50" spans="1:20" x14ac:dyDescent="0.3">
      <c r="A50" s="90">
        <f t="shared" ref="A50:A53" si="57">A49+TIME(0,180,0)</f>
        <v>0.38819444444444445</v>
      </c>
      <c r="B50" s="90">
        <f t="shared" si="44"/>
        <v>0.39722222222222225</v>
      </c>
      <c r="C50" s="90">
        <f t="shared" si="45"/>
        <v>0.40416666666666667</v>
      </c>
      <c r="D50" s="90">
        <f t="shared" si="46"/>
        <v>0.40833333333333333</v>
      </c>
      <c r="E50" s="90">
        <f t="shared" si="47"/>
        <v>0.41388888888888886</v>
      </c>
      <c r="F50" s="90">
        <f t="shared" si="48"/>
        <v>0.42569444444444443</v>
      </c>
      <c r="G50" s="90">
        <f t="shared" si="49"/>
        <v>0.44374999999999998</v>
      </c>
      <c r="H50" s="91">
        <f t="shared" si="50"/>
        <v>0.4506944444444444</v>
      </c>
      <c r="I50" s="91">
        <f t="shared" si="51"/>
        <v>0.46874999999999994</v>
      </c>
      <c r="J50" s="91">
        <f t="shared" si="52"/>
        <v>0.48055555555555551</v>
      </c>
      <c r="K50" s="91">
        <f t="shared" si="53"/>
        <v>0.48611111111111105</v>
      </c>
      <c r="L50" s="91">
        <f t="shared" si="54"/>
        <v>0.4902777777777777</v>
      </c>
      <c r="M50" s="91">
        <f t="shared" si="55"/>
        <v>0.49722222222222212</v>
      </c>
      <c r="N50" s="92">
        <f t="shared" si="56"/>
        <v>0.50624999999999987</v>
      </c>
      <c r="O50" s="36">
        <v>1</v>
      </c>
      <c r="P50" s="36">
        <v>7</v>
      </c>
      <c r="Q50" s="107"/>
      <c r="R50" s="112">
        <v>0.49305555555555558</v>
      </c>
      <c r="S50" s="36">
        <v>1</v>
      </c>
      <c r="T50" s="36">
        <v>6</v>
      </c>
    </row>
    <row r="51" spans="1:20" x14ac:dyDescent="0.3">
      <c r="A51" s="90">
        <f t="shared" si="57"/>
        <v>0.51319444444444451</v>
      </c>
      <c r="B51" s="90">
        <f t="shared" si="44"/>
        <v>0.52222222222222225</v>
      </c>
      <c r="C51" s="90">
        <f t="shared" si="45"/>
        <v>0.52916666666666667</v>
      </c>
      <c r="D51" s="90">
        <f t="shared" si="46"/>
        <v>0.53333333333333333</v>
      </c>
      <c r="E51" s="90">
        <f t="shared" si="47"/>
        <v>0.53888888888888886</v>
      </c>
      <c r="F51" s="90">
        <f t="shared" si="48"/>
        <v>0.55069444444444438</v>
      </c>
      <c r="G51" s="90">
        <f t="shared" si="49"/>
        <v>0.56874999999999998</v>
      </c>
      <c r="H51" s="91">
        <f t="shared" si="50"/>
        <v>0.5756944444444444</v>
      </c>
      <c r="I51" s="91">
        <f t="shared" si="51"/>
        <v>0.59375</v>
      </c>
      <c r="J51" s="91">
        <f t="shared" si="52"/>
        <v>0.60555555555555551</v>
      </c>
      <c r="K51" s="91">
        <f t="shared" si="53"/>
        <v>0.61111111111111105</v>
      </c>
      <c r="L51" s="91">
        <f t="shared" si="54"/>
        <v>0.6152777777777777</v>
      </c>
      <c r="M51" s="91">
        <f t="shared" si="55"/>
        <v>0.62222222222222212</v>
      </c>
      <c r="N51" s="92">
        <f t="shared" si="56"/>
        <v>0.63124999999999987</v>
      </c>
      <c r="O51" s="36">
        <v>1</v>
      </c>
      <c r="P51" s="36">
        <v>9</v>
      </c>
      <c r="Q51" s="107"/>
      <c r="R51" s="112">
        <v>0.61805555555555558</v>
      </c>
      <c r="S51" s="36">
        <v>1</v>
      </c>
      <c r="T51" s="36">
        <v>9</v>
      </c>
    </row>
    <row r="52" spans="1:20" x14ac:dyDescent="0.3">
      <c r="A52" s="90">
        <f t="shared" si="57"/>
        <v>0.63819444444444451</v>
      </c>
      <c r="B52" s="90">
        <f t="shared" si="44"/>
        <v>0.64722222222222225</v>
      </c>
      <c r="C52" s="90">
        <f t="shared" si="45"/>
        <v>0.65416666666666667</v>
      </c>
      <c r="D52" s="90">
        <f t="shared" si="46"/>
        <v>0.65833333333333333</v>
      </c>
      <c r="E52" s="90">
        <f t="shared" si="47"/>
        <v>0.66388888888888886</v>
      </c>
      <c r="F52" s="90">
        <f t="shared" si="48"/>
        <v>0.67569444444444438</v>
      </c>
      <c r="G52" s="90">
        <f t="shared" si="49"/>
        <v>0.69374999999999998</v>
      </c>
      <c r="H52" s="91">
        <f t="shared" si="50"/>
        <v>0.7006944444444444</v>
      </c>
      <c r="I52" s="91">
        <f t="shared" si="51"/>
        <v>0.71875</v>
      </c>
      <c r="J52" s="91">
        <f t="shared" si="52"/>
        <v>0.73055555555555551</v>
      </c>
      <c r="K52" s="91">
        <f t="shared" si="53"/>
        <v>0.73611111111111105</v>
      </c>
      <c r="L52" s="91">
        <f t="shared" si="54"/>
        <v>0.7402777777777777</v>
      </c>
      <c r="M52" s="91">
        <f t="shared" si="55"/>
        <v>0.74722222222222212</v>
      </c>
      <c r="N52" s="92">
        <f t="shared" si="56"/>
        <v>0.75624999999999987</v>
      </c>
      <c r="O52" s="36">
        <v>1</v>
      </c>
      <c r="P52" s="36">
        <v>11</v>
      </c>
      <c r="Q52" s="107"/>
      <c r="R52" s="112">
        <v>0.74305555555555547</v>
      </c>
      <c r="S52" s="36">
        <v>1</v>
      </c>
      <c r="T52" s="36">
        <v>11</v>
      </c>
    </row>
    <row r="53" spans="1:20" x14ac:dyDescent="0.3">
      <c r="A53" s="90">
        <f t="shared" si="57"/>
        <v>0.76319444444444451</v>
      </c>
      <c r="B53" s="90">
        <f t="shared" si="44"/>
        <v>0.77222222222222225</v>
      </c>
      <c r="C53" s="90">
        <f t="shared" si="45"/>
        <v>0.77916666666666667</v>
      </c>
      <c r="D53" s="90">
        <f t="shared" si="46"/>
        <v>0.78333333333333333</v>
      </c>
      <c r="E53" s="90">
        <f t="shared" si="47"/>
        <v>0.78888888888888886</v>
      </c>
      <c r="F53" s="90">
        <f t="shared" si="48"/>
        <v>0.80069444444444438</v>
      </c>
      <c r="G53" s="90">
        <f t="shared" si="49"/>
        <v>0.81874999999999998</v>
      </c>
      <c r="H53" s="91">
        <f t="shared" si="50"/>
        <v>0.8256944444444444</v>
      </c>
      <c r="I53" s="91">
        <f t="shared" si="51"/>
        <v>0.84375</v>
      </c>
      <c r="J53" s="91">
        <f t="shared" si="52"/>
        <v>0.85555555555555551</v>
      </c>
      <c r="K53" s="91">
        <f t="shared" si="53"/>
        <v>0.86111111111111105</v>
      </c>
      <c r="L53" s="91">
        <f t="shared" si="54"/>
        <v>0.8652777777777777</v>
      </c>
      <c r="M53" s="91">
        <f t="shared" si="55"/>
        <v>0.87222222222222212</v>
      </c>
      <c r="N53" s="92">
        <f t="shared" si="56"/>
        <v>0.88124999999999987</v>
      </c>
      <c r="O53" s="36">
        <v>0</v>
      </c>
      <c r="P53" s="36" t="s">
        <v>14</v>
      </c>
      <c r="Q53" s="107">
        <v>1.3194444444444444E-2</v>
      </c>
      <c r="R53" s="112">
        <v>0.86805555555555547</v>
      </c>
      <c r="S53" s="36">
        <v>1</v>
      </c>
      <c r="T53" s="36">
        <v>13</v>
      </c>
    </row>
    <row r="54" spans="1:20" x14ac:dyDescent="0.3">
      <c r="A54" s="104"/>
      <c r="B54" s="104"/>
      <c r="C54" s="104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5"/>
      <c r="P54" s="105"/>
      <c r="Q54" s="62"/>
    </row>
    <row r="55" spans="1:20" x14ac:dyDescent="0.3">
      <c r="A55" s="52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105"/>
      <c r="P55" s="105"/>
    </row>
    <row r="56" spans="1:20" x14ac:dyDescent="0.3">
      <c r="A56" s="52"/>
      <c r="B56" s="52"/>
      <c r="C56" s="52"/>
      <c r="D56" s="52"/>
      <c r="E56" s="52"/>
      <c r="F56" s="52"/>
      <c r="G56" s="89" t="s">
        <v>43</v>
      </c>
      <c r="H56" s="52"/>
      <c r="I56" s="52"/>
      <c r="J56" s="52"/>
      <c r="K56" s="52"/>
      <c r="L56" s="52"/>
      <c r="M56" s="52"/>
      <c r="N56" s="52"/>
      <c r="O56" s="105"/>
      <c r="P56" s="105"/>
    </row>
    <row r="57" spans="1:20" ht="30" customHeight="1" x14ac:dyDescent="0.3">
      <c r="A57" s="102" t="s">
        <v>0</v>
      </c>
      <c r="B57" s="99" t="s">
        <v>37</v>
      </c>
      <c r="C57" s="99" t="s">
        <v>38</v>
      </c>
      <c r="D57" s="99" t="s">
        <v>39</v>
      </c>
      <c r="E57" s="99" t="s">
        <v>40</v>
      </c>
      <c r="F57" s="99" t="s">
        <v>41</v>
      </c>
      <c r="G57" s="99" t="s">
        <v>42</v>
      </c>
      <c r="H57" s="100" t="s">
        <v>42</v>
      </c>
      <c r="I57" s="100" t="s">
        <v>41</v>
      </c>
      <c r="J57" s="100" t="s">
        <v>40</v>
      </c>
      <c r="K57" s="100" t="s">
        <v>39</v>
      </c>
      <c r="L57" s="100" t="s">
        <v>38</v>
      </c>
      <c r="M57" s="100" t="s">
        <v>37</v>
      </c>
      <c r="N57" s="101" t="s">
        <v>0</v>
      </c>
      <c r="O57" s="36" t="s">
        <v>12</v>
      </c>
      <c r="P57" s="36" t="s">
        <v>13</v>
      </c>
      <c r="R57" s="109" t="s">
        <v>26</v>
      </c>
      <c r="S57" s="110"/>
      <c r="T57" s="111"/>
    </row>
    <row r="58" spans="1:20" x14ac:dyDescent="0.3">
      <c r="A58" s="90">
        <f>TIME(0,20,0)+A49</f>
        <v>0.27708333333333335</v>
      </c>
      <c r="B58" s="90">
        <f t="shared" ref="B58:B62" si="58">A58+TIME(0,13,0)</f>
        <v>0.28611111111111115</v>
      </c>
      <c r="C58" s="90">
        <f t="shared" ref="C58:C62" si="59">B58+TIME(0,10,0)</f>
        <v>0.29305555555555557</v>
      </c>
      <c r="D58" s="90">
        <f t="shared" ref="D58:D62" si="60">C58+TIME(0,6,0)</f>
        <v>0.29722222222222222</v>
      </c>
      <c r="E58" s="90">
        <f t="shared" ref="E58:E62" si="61">D58+TIME(0,8,0)</f>
        <v>0.30277777777777776</v>
      </c>
      <c r="F58" s="90">
        <f t="shared" ref="F58:F62" si="62">E58+TIME(0,17,0)</f>
        <v>0.31458333333333333</v>
      </c>
      <c r="G58" s="90">
        <f t="shared" ref="G58:G62" si="63">F58+TIME(0,26,0)</f>
        <v>0.33263888888888887</v>
      </c>
      <c r="H58" s="91">
        <f t="shared" ref="H58:H62" si="64">G58+TIME(0,10,0)</f>
        <v>0.33958333333333329</v>
      </c>
      <c r="I58" s="91">
        <f t="shared" ref="I58:I62" si="65">H58+TIME(0,26,0)</f>
        <v>0.35763888888888884</v>
      </c>
      <c r="J58" s="91">
        <f t="shared" ref="J58:J62" si="66">I58+TIME(0,17,0)</f>
        <v>0.36944444444444441</v>
      </c>
      <c r="K58" s="91">
        <f t="shared" ref="K58:K62" si="67">J58+TIME(0,8,0)</f>
        <v>0.37499999999999994</v>
      </c>
      <c r="L58" s="91">
        <f t="shared" ref="L58:L62" si="68">K58+TIME(0,6,0)</f>
        <v>0.3791666666666666</v>
      </c>
      <c r="M58" s="91">
        <f t="shared" ref="M58:M62" si="69">L58+TIME(0,10,0)</f>
        <v>0.38611111111111102</v>
      </c>
      <c r="N58" s="92">
        <f t="shared" ref="N58:N62" si="70">M58+TIME(0,13,0)</f>
        <v>0.39513888888888882</v>
      </c>
      <c r="O58" s="36">
        <v>1</v>
      </c>
      <c r="P58" s="36">
        <v>4</v>
      </c>
      <c r="R58" s="113">
        <v>0.38194444444444442</v>
      </c>
      <c r="S58" s="37">
        <v>1</v>
      </c>
      <c r="T58" s="37">
        <v>4</v>
      </c>
    </row>
    <row r="59" spans="1:20" x14ac:dyDescent="0.3">
      <c r="A59" s="90">
        <f t="shared" ref="A59:A62" si="71">A58+TIME(0,180,0)</f>
        <v>0.40208333333333335</v>
      </c>
      <c r="B59" s="90">
        <f t="shared" si="58"/>
        <v>0.41111111111111115</v>
      </c>
      <c r="C59" s="90">
        <f t="shared" si="59"/>
        <v>0.41805555555555557</v>
      </c>
      <c r="D59" s="90">
        <f t="shared" si="60"/>
        <v>0.42222222222222222</v>
      </c>
      <c r="E59" s="90">
        <f t="shared" si="61"/>
        <v>0.42777777777777776</v>
      </c>
      <c r="F59" s="90">
        <f t="shared" si="62"/>
        <v>0.43958333333333333</v>
      </c>
      <c r="G59" s="90">
        <f t="shared" si="63"/>
        <v>0.45763888888888887</v>
      </c>
      <c r="H59" s="91">
        <f t="shared" si="64"/>
        <v>0.46458333333333329</v>
      </c>
      <c r="I59" s="91">
        <f t="shared" si="65"/>
        <v>0.48263888888888884</v>
      </c>
      <c r="J59" s="91">
        <f t="shared" si="66"/>
        <v>0.49444444444444441</v>
      </c>
      <c r="K59" s="91">
        <f t="shared" si="67"/>
        <v>0.49999999999999994</v>
      </c>
      <c r="L59" s="91">
        <f t="shared" si="68"/>
        <v>0.50416666666666665</v>
      </c>
      <c r="M59" s="91">
        <f t="shared" si="69"/>
        <v>0.51111111111111107</v>
      </c>
      <c r="N59" s="92">
        <f t="shared" si="70"/>
        <v>0.52013888888888882</v>
      </c>
      <c r="O59" s="36">
        <v>1</v>
      </c>
      <c r="P59" s="36">
        <v>7</v>
      </c>
      <c r="R59" s="113">
        <v>0.50694444444444442</v>
      </c>
      <c r="S59" s="37">
        <v>1</v>
      </c>
      <c r="T59" s="37">
        <v>7</v>
      </c>
    </row>
    <row r="60" spans="1:20" x14ac:dyDescent="0.3">
      <c r="A60" s="90">
        <f t="shared" si="71"/>
        <v>0.52708333333333335</v>
      </c>
      <c r="B60" s="90">
        <f t="shared" si="58"/>
        <v>0.53611111111111109</v>
      </c>
      <c r="C60" s="90">
        <f t="shared" si="59"/>
        <v>0.54305555555555551</v>
      </c>
      <c r="D60" s="90">
        <f t="shared" si="60"/>
        <v>0.54722222222222217</v>
      </c>
      <c r="E60" s="90">
        <f t="shared" si="61"/>
        <v>0.5527777777777777</v>
      </c>
      <c r="F60" s="90">
        <f t="shared" si="62"/>
        <v>0.56458333333333321</v>
      </c>
      <c r="G60" s="90">
        <f t="shared" si="63"/>
        <v>0.58263888888888882</v>
      </c>
      <c r="H60" s="91">
        <f t="shared" si="64"/>
        <v>0.58958333333333324</v>
      </c>
      <c r="I60" s="91">
        <f t="shared" si="65"/>
        <v>0.60763888888888884</v>
      </c>
      <c r="J60" s="91">
        <f t="shared" si="66"/>
        <v>0.61944444444444435</v>
      </c>
      <c r="K60" s="91">
        <f t="shared" si="67"/>
        <v>0.62499999999999989</v>
      </c>
      <c r="L60" s="91">
        <f t="shared" si="68"/>
        <v>0.62916666666666654</v>
      </c>
      <c r="M60" s="91">
        <f t="shared" si="69"/>
        <v>0.63611111111111096</v>
      </c>
      <c r="N60" s="92">
        <f t="shared" si="70"/>
        <v>0.64513888888888871</v>
      </c>
      <c r="O60" s="36">
        <v>1</v>
      </c>
      <c r="P60" s="36">
        <v>9</v>
      </c>
      <c r="R60" s="113">
        <v>0.63194444444444442</v>
      </c>
      <c r="S60" s="37">
        <v>1</v>
      </c>
      <c r="T60" s="37">
        <v>9</v>
      </c>
    </row>
    <row r="61" spans="1:20" x14ac:dyDescent="0.3">
      <c r="A61" s="90">
        <f t="shared" si="71"/>
        <v>0.65208333333333335</v>
      </c>
      <c r="B61" s="90">
        <f t="shared" si="58"/>
        <v>0.66111111111111109</v>
      </c>
      <c r="C61" s="90">
        <f t="shared" si="59"/>
        <v>0.66805555555555551</v>
      </c>
      <c r="D61" s="90">
        <f t="shared" si="60"/>
        <v>0.67222222222222217</v>
      </c>
      <c r="E61" s="90">
        <f t="shared" si="61"/>
        <v>0.6777777777777777</v>
      </c>
      <c r="F61" s="90">
        <f t="shared" si="62"/>
        <v>0.68958333333333321</v>
      </c>
      <c r="G61" s="90">
        <f t="shared" si="63"/>
        <v>0.70763888888888882</v>
      </c>
      <c r="H61" s="91">
        <f t="shared" si="64"/>
        <v>0.71458333333333324</v>
      </c>
      <c r="I61" s="91">
        <f t="shared" si="65"/>
        <v>0.73263888888888884</v>
      </c>
      <c r="J61" s="91">
        <f t="shared" si="66"/>
        <v>0.74444444444444435</v>
      </c>
      <c r="K61" s="91">
        <f t="shared" si="67"/>
        <v>0.74999999999999989</v>
      </c>
      <c r="L61" s="91">
        <f t="shared" si="68"/>
        <v>0.75416666666666654</v>
      </c>
      <c r="M61" s="91">
        <f t="shared" si="69"/>
        <v>0.76111111111111096</v>
      </c>
      <c r="N61" s="92">
        <f t="shared" si="70"/>
        <v>0.77013888888888871</v>
      </c>
      <c r="O61" s="36">
        <v>1</v>
      </c>
      <c r="P61" s="36">
        <v>11</v>
      </c>
      <c r="R61" s="113">
        <v>0.75694444444444453</v>
      </c>
      <c r="S61" s="37">
        <v>1</v>
      </c>
      <c r="T61" s="37">
        <v>11</v>
      </c>
    </row>
    <row r="62" spans="1:20" x14ac:dyDescent="0.3">
      <c r="A62" s="90">
        <f t="shared" si="71"/>
        <v>0.77708333333333335</v>
      </c>
      <c r="B62" s="90">
        <f t="shared" si="58"/>
        <v>0.78611111111111109</v>
      </c>
      <c r="C62" s="90">
        <f t="shared" si="59"/>
        <v>0.79305555555555551</v>
      </c>
      <c r="D62" s="90">
        <f t="shared" si="60"/>
        <v>0.79722222222222217</v>
      </c>
      <c r="E62" s="90">
        <f t="shared" si="61"/>
        <v>0.8027777777777777</v>
      </c>
      <c r="F62" s="90">
        <f t="shared" si="62"/>
        <v>0.81458333333333321</v>
      </c>
      <c r="G62" s="90">
        <f t="shared" si="63"/>
        <v>0.83263888888888882</v>
      </c>
      <c r="H62" s="91">
        <f t="shared" si="64"/>
        <v>0.83958333333333324</v>
      </c>
      <c r="I62" s="91">
        <f t="shared" si="65"/>
        <v>0.85763888888888884</v>
      </c>
      <c r="J62" s="91">
        <f t="shared" si="66"/>
        <v>0.86944444444444435</v>
      </c>
      <c r="K62" s="91">
        <f t="shared" si="67"/>
        <v>0.87499999999999989</v>
      </c>
      <c r="L62" s="91">
        <f t="shared" si="68"/>
        <v>0.87916666666666654</v>
      </c>
      <c r="M62" s="91">
        <f t="shared" si="69"/>
        <v>0.88611111111111096</v>
      </c>
      <c r="N62" s="92">
        <f t="shared" si="70"/>
        <v>0.89513888888888871</v>
      </c>
      <c r="O62" s="36">
        <v>1</v>
      </c>
      <c r="P62" s="36">
        <v>14</v>
      </c>
      <c r="R62" s="113">
        <v>0.88194444444444453</v>
      </c>
      <c r="S62" s="37">
        <v>1</v>
      </c>
      <c r="T62" s="37">
        <v>14</v>
      </c>
    </row>
    <row r="63" spans="1:20" x14ac:dyDescent="0.3">
      <c r="A63" s="104"/>
      <c r="B63" s="104"/>
      <c r="C63" s="104"/>
      <c r="D63" s="104"/>
      <c r="E63" s="104"/>
      <c r="F63" s="104"/>
      <c r="G63" s="104"/>
      <c r="H63" s="104"/>
      <c r="I63" s="104"/>
      <c r="J63" s="104"/>
      <c r="K63" s="104"/>
      <c r="L63" s="104"/>
      <c r="M63" s="104"/>
      <c r="N63" s="104"/>
      <c r="O63" s="105"/>
      <c r="P63" s="105"/>
    </row>
    <row r="64" spans="1:20" x14ac:dyDescent="0.3">
      <c r="A64" s="52"/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105"/>
      <c r="P64" s="105"/>
    </row>
    <row r="65" spans="1:20" x14ac:dyDescent="0.3">
      <c r="A65" s="52"/>
      <c r="B65" s="52"/>
      <c r="C65" s="52"/>
      <c r="D65" s="52"/>
      <c r="E65" s="52"/>
      <c r="F65" s="52"/>
      <c r="G65" s="89" t="s">
        <v>44</v>
      </c>
      <c r="H65" s="52"/>
      <c r="I65" s="52"/>
      <c r="J65" s="52"/>
      <c r="K65" s="52"/>
      <c r="L65" s="52"/>
      <c r="M65" s="52"/>
      <c r="N65" s="52"/>
      <c r="O65" s="105"/>
      <c r="P65" s="105"/>
    </row>
    <row r="66" spans="1:20" ht="30" customHeight="1" x14ac:dyDescent="0.3">
      <c r="A66" s="93" t="s">
        <v>0</v>
      </c>
      <c r="B66" s="94" t="s">
        <v>37</v>
      </c>
      <c r="C66" s="94" t="s">
        <v>38</v>
      </c>
      <c r="D66" s="94" t="s">
        <v>39</v>
      </c>
      <c r="E66" s="94" t="s">
        <v>40</v>
      </c>
      <c r="F66" s="94" t="s">
        <v>41</v>
      </c>
      <c r="G66" s="94" t="s">
        <v>42</v>
      </c>
      <c r="H66" s="95" t="s">
        <v>42</v>
      </c>
      <c r="I66" s="95" t="s">
        <v>41</v>
      </c>
      <c r="J66" s="95" t="s">
        <v>40</v>
      </c>
      <c r="K66" s="95" t="s">
        <v>39</v>
      </c>
      <c r="L66" s="95" t="s">
        <v>38</v>
      </c>
      <c r="M66" s="95" t="s">
        <v>37</v>
      </c>
      <c r="N66" s="96" t="s">
        <v>0</v>
      </c>
      <c r="O66" s="36" t="s">
        <v>12</v>
      </c>
      <c r="P66" s="36" t="s">
        <v>13</v>
      </c>
      <c r="R66" s="109" t="s">
        <v>26</v>
      </c>
      <c r="S66" s="110"/>
      <c r="T66" s="111"/>
    </row>
    <row r="67" spans="1:20" x14ac:dyDescent="0.3">
      <c r="A67" s="90">
        <f>TIME(0,20,0)+A58</f>
        <v>0.29097222222222224</v>
      </c>
      <c r="B67" s="90">
        <f t="shared" ref="B67:B71" si="72">A67+TIME(0,13,0)</f>
        <v>0.30000000000000004</v>
      </c>
      <c r="C67" s="90">
        <f t="shared" ref="C67:C71" si="73">B67+TIME(0,10,0)</f>
        <v>0.30694444444444446</v>
      </c>
      <c r="D67" s="90">
        <f t="shared" ref="D67:D71" si="74">C67+TIME(0,6,0)</f>
        <v>0.31111111111111112</v>
      </c>
      <c r="E67" s="90">
        <f t="shared" ref="E67:E71" si="75">D67+TIME(0,8,0)</f>
        <v>0.31666666666666665</v>
      </c>
      <c r="F67" s="90">
        <f t="shared" ref="F67:F71" si="76">E67+TIME(0,17,0)</f>
        <v>0.32847222222222222</v>
      </c>
      <c r="G67" s="90">
        <f t="shared" ref="G67:G71" si="77">F67+TIME(0,26,0)</f>
        <v>0.34652777777777777</v>
      </c>
      <c r="H67" s="91">
        <f t="shared" ref="H67:H71" si="78">G67+TIME(0,10,0)</f>
        <v>0.35347222222222219</v>
      </c>
      <c r="I67" s="91">
        <f t="shared" ref="I67:I71" si="79">H67+TIME(0,26,0)</f>
        <v>0.37152777777777773</v>
      </c>
      <c r="J67" s="91">
        <f t="shared" ref="J67:J71" si="80">I67+TIME(0,17,0)</f>
        <v>0.3833333333333333</v>
      </c>
      <c r="K67" s="91">
        <f t="shared" ref="K67:K71" si="81">J67+TIME(0,8,0)</f>
        <v>0.38888888888888884</v>
      </c>
      <c r="L67" s="91">
        <f t="shared" ref="L67:L71" si="82">K67+TIME(0,6,0)</f>
        <v>0.39305555555555549</v>
      </c>
      <c r="M67" s="91">
        <f t="shared" ref="M67:M71" si="83">L67+TIME(0,10,0)</f>
        <v>0.39999999999999991</v>
      </c>
      <c r="N67" s="92">
        <f t="shared" ref="N67:N71" si="84">M67+TIME(0,13,0)</f>
        <v>0.40902777777777771</v>
      </c>
      <c r="O67" s="36">
        <v>1</v>
      </c>
      <c r="P67" s="36">
        <v>4</v>
      </c>
      <c r="R67" s="113">
        <v>0.39583333333333331</v>
      </c>
      <c r="S67" s="37">
        <v>1</v>
      </c>
      <c r="T67" s="37">
        <v>4</v>
      </c>
    </row>
    <row r="68" spans="1:20" x14ac:dyDescent="0.3">
      <c r="A68" s="90">
        <f t="shared" ref="A68:A71" si="85">A67+TIME(0,180,0)</f>
        <v>0.41597222222222224</v>
      </c>
      <c r="B68" s="90">
        <f t="shared" si="72"/>
        <v>0.42500000000000004</v>
      </c>
      <c r="C68" s="90">
        <f t="shared" si="73"/>
        <v>0.43194444444444446</v>
      </c>
      <c r="D68" s="90">
        <f t="shared" si="74"/>
        <v>0.43611111111111112</v>
      </c>
      <c r="E68" s="90">
        <f t="shared" si="75"/>
        <v>0.44166666666666665</v>
      </c>
      <c r="F68" s="90">
        <f t="shared" si="76"/>
        <v>0.45347222222222222</v>
      </c>
      <c r="G68" s="90">
        <f t="shared" si="77"/>
        <v>0.47152777777777777</v>
      </c>
      <c r="H68" s="91">
        <f t="shared" si="78"/>
        <v>0.47847222222222219</v>
      </c>
      <c r="I68" s="91">
        <f t="shared" si="79"/>
        <v>0.49652777777777773</v>
      </c>
      <c r="J68" s="91">
        <f t="shared" si="80"/>
        <v>0.5083333333333333</v>
      </c>
      <c r="K68" s="91">
        <f t="shared" si="81"/>
        <v>0.51388888888888884</v>
      </c>
      <c r="L68" s="91">
        <f t="shared" si="82"/>
        <v>0.51805555555555549</v>
      </c>
      <c r="M68" s="91">
        <f t="shared" si="83"/>
        <v>0.52499999999999991</v>
      </c>
      <c r="N68" s="92">
        <f t="shared" si="84"/>
        <v>0.53402777777777766</v>
      </c>
      <c r="O68" s="36">
        <v>1</v>
      </c>
      <c r="P68" s="36">
        <v>7</v>
      </c>
      <c r="R68" s="113">
        <v>0.52083333333333337</v>
      </c>
      <c r="S68" s="37">
        <v>1</v>
      </c>
      <c r="T68" s="37">
        <v>7</v>
      </c>
    </row>
    <row r="69" spans="1:20" x14ac:dyDescent="0.3">
      <c r="A69" s="90">
        <f t="shared" si="85"/>
        <v>0.54097222222222219</v>
      </c>
      <c r="B69" s="90">
        <f t="shared" si="72"/>
        <v>0.54999999999999993</v>
      </c>
      <c r="C69" s="90">
        <f t="shared" si="73"/>
        <v>0.55694444444444435</v>
      </c>
      <c r="D69" s="90">
        <f t="shared" si="74"/>
        <v>0.56111111111111101</v>
      </c>
      <c r="E69" s="90">
        <f t="shared" si="75"/>
        <v>0.56666666666666654</v>
      </c>
      <c r="F69" s="90">
        <f t="shared" si="76"/>
        <v>0.57847222222222205</v>
      </c>
      <c r="G69" s="90">
        <f t="shared" si="77"/>
        <v>0.59652777777777766</v>
      </c>
      <c r="H69" s="91">
        <f t="shared" si="78"/>
        <v>0.60347222222222208</v>
      </c>
      <c r="I69" s="91">
        <f t="shared" si="79"/>
        <v>0.62152777777777768</v>
      </c>
      <c r="J69" s="91">
        <f t="shared" si="80"/>
        <v>0.63333333333333319</v>
      </c>
      <c r="K69" s="91">
        <f t="shared" si="81"/>
        <v>0.63888888888888873</v>
      </c>
      <c r="L69" s="91">
        <f t="shared" si="82"/>
        <v>0.64305555555555538</v>
      </c>
      <c r="M69" s="91">
        <f t="shared" si="83"/>
        <v>0.6499999999999998</v>
      </c>
      <c r="N69" s="92">
        <f t="shared" si="84"/>
        <v>0.65902777777777755</v>
      </c>
      <c r="O69" s="36">
        <v>1</v>
      </c>
      <c r="P69" s="36">
        <v>9</v>
      </c>
      <c r="R69" s="113">
        <v>0.64583333333333337</v>
      </c>
      <c r="S69" s="37">
        <v>1</v>
      </c>
      <c r="T69" s="37">
        <v>9</v>
      </c>
    </row>
    <row r="70" spans="1:20" x14ac:dyDescent="0.3">
      <c r="A70" s="90">
        <f t="shared" si="85"/>
        <v>0.66597222222222219</v>
      </c>
      <c r="B70" s="90">
        <f t="shared" si="72"/>
        <v>0.67499999999999993</v>
      </c>
      <c r="C70" s="90">
        <f t="shared" si="73"/>
        <v>0.68194444444444435</v>
      </c>
      <c r="D70" s="90">
        <f t="shared" si="74"/>
        <v>0.68611111111111101</v>
      </c>
      <c r="E70" s="90">
        <f t="shared" si="75"/>
        <v>0.69166666666666654</v>
      </c>
      <c r="F70" s="90">
        <f t="shared" si="76"/>
        <v>0.70347222222222205</v>
      </c>
      <c r="G70" s="90">
        <f t="shared" si="77"/>
        <v>0.72152777777777766</v>
      </c>
      <c r="H70" s="91">
        <f t="shared" si="78"/>
        <v>0.72847222222222208</v>
      </c>
      <c r="I70" s="91">
        <f t="shared" si="79"/>
        <v>0.74652777777777768</v>
      </c>
      <c r="J70" s="91">
        <f t="shared" si="80"/>
        <v>0.75833333333333319</v>
      </c>
      <c r="K70" s="91">
        <f t="shared" si="81"/>
        <v>0.76388888888888873</v>
      </c>
      <c r="L70" s="91">
        <f t="shared" si="82"/>
        <v>0.76805555555555538</v>
      </c>
      <c r="M70" s="91">
        <f t="shared" si="83"/>
        <v>0.7749999999999998</v>
      </c>
      <c r="N70" s="92">
        <f t="shared" si="84"/>
        <v>0.78402777777777755</v>
      </c>
      <c r="O70" s="36">
        <v>1</v>
      </c>
      <c r="P70" s="36">
        <v>12</v>
      </c>
      <c r="R70" s="113">
        <v>0.77083333333333337</v>
      </c>
      <c r="S70" s="37">
        <v>1</v>
      </c>
      <c r="T70" s="37">
        <v>11</v>
      </c>
    </row>
    <row r="71" spans="1:20" x14ac:dyDescent="0.3">
      <c r="A71" s="90">
        <f t="shared" si="85"/>
        <v>0.79097222222222219</v>
      </c>
      <c r="B71" s="90">
        <f t="shared" si="72"/>
        <v>0.79999999999999993</v>
      </c>
      <c r="C71" s="90">
        <f t="shared" si="73"/>
        <v>0.80694444444444435</v>
      </c>
      <c r="D71" s="90">
        <f t="shared" si="74"/>
        <v>0.81111111111111101</v>
      </c>
      <c r="E71" s="90">
        <f t="shared" si="75"/>
        <v>0.81666666666666654</v>
      </c>
      <c r="F71" s="90">
        <f t="shared" si="76"/>
        <v>0.82847222222222205</v>
      </c>
      <c r="G71" s="90">
        <f t="shared" si="77"/>
        <v>0.84652777777777766</v>
      </c>
      <c r="H71" s="91">
        <f t="shared" si="78"/>
        <v>0.85347222222222208</v>
      </c>
      <c r="I71" s="91">
        <f t="shared" si="79"/>
        <v>0.87152777777777768</v>
      </c>
      <c r="J71" s="91">
        <f t="shared" si="80"/>
        <v>0.88333333333333319</v>
      </c>
      <c r="K71" s="91">
        <f t="shared" si="81"/>
        <v>0.88888888888888873</v>
      </c>
      <c r="L71" s="91">
        <f t="shared" si="82"/>
        <v>0.89305555555555538</v>
      </c>
      <c r="M71" s="91">
        <f t="shared" si="83"/>
        <v>0.8999999999999998</v>
      </c>
      <c r="N71" s="92">
        <f t="shared" si="84"/>
        <v>0.90902777777777755</v>
      </c>
      <c r="O71" s="36">
        <v>1</v>
      </c>
      <c r="P71" s="36">
        <v>14</v>
      </c>
      <c r="R71" s="113">
        <v>0.89583333333333337</v>
      </c>
      <c r="S71" s="37">
        <v>1</v>
      </c>
      <c r="T71" s="37">
        <v>14</v>
      </c>
    </row>
    <row r="72" spans="1:20" s="77" customFormat="1" x14ac:dyDescent="0.3">
      <c r="A72" s="104"/>
      <c r="B72" s="104"/>
      <c r="C72" s="104"/>
      <c r="D72" s="104"/>
      <c r="E72" s="104"/>
      <c r="F72" s="104"/>
      <c r="G72" s="104"/>
      <c r="H72" s="104"/>
      <c r="I72" s="104"/>
      <c r="J72" s="104"/>
      <c r="K72" s="104"/>
      <c r="L72" s="104"/>
      <c r="M72" s="104"/>
      <c r="N72" s="104"/>
      <c r="O72" s="35"/>
      <c r="P72" s="35"/>
      <c r="R72" s="114"/>
    </row>
    <row r="73" spans="1:20" x14ac:dyDescent="0.3">
      <c r="A73" s="52"/>
      <c r="B73" s="52"/>
      <c r="C73" s="52"/>
      <c r="D73" s="52"/>
      <c r="E73" s="52"/>
      <c r="F73" s="52"/>
      <c r="G73" s="52"/>
      <c r="H73" s="52"/>
      <c r="I73" s="52"/>
      <c r="J73" s="52"/>
      <c r="K73" s="52"/>
      <c r="L73" s="52"/>
      <c r="M73" s="52"/>
      <c r="N73" s="52"/>
      <c r="O73" s="105"/>
      <c r="P73" s="105"/>
    </row>
    <row r="74" spans="1:20" x14ac:dyDescent="0.3">
      <c r="A74" s="52"/>
      <c r="B74" s="52"/>
      <c r="C74" s="52"/>
      <c r="D74" s="52"/>
      <c r="E74" s="52"/>
      <c r="F74" s="52"/>
      <c r="G74" s="89" t="s">
        <v>45</v>
      </c>
      <c r="H74" s="52"/>
      <c r="I74" s="52"/>
      <c r="J74" s="52"/>
      <c r="K74" s="52"/>
      <c r="L74" s="52"/>
      <c r="M74" s="52"/>
      <c r="N74" s="52"/>
      <c r="O74" s="105"/>
      <c r="P74" s="105"/>
    </row>
    <row r="75" spans="1:20" ht="30" customHeight="1" x14ac:dyDescent="0.3">
      <c r="A75" s="93" t="s">
        <v>0</v>
      </c>
      <c r="B75" s="94" t="s">
        <v>37</v>
      </c>
      <c r="C75" s="94" t="s">
        <v>38</v>
      </c>
      <c r="D75" s="94" t="s">
        <v>39</v>
      </c>
      <c r="E75" s="94" t="s">
        <v>40</v>
      </c>
      <c r="F75" s="94" t="s">
        <v>41</v>
      </c>
      <c r="G75" s="94" t="s">
        <v>42</v>
      </c>
      <c r="H75" s="95" t="s">
        <v>42</v>
      </c>
      <c r="I75" s="95" t="s">
        <v>41</v>
      </c>
      <c r="J75" s="95" t="s">
        <v>40</v>
      </c>
      <c r="K75" s="95" t="s">
        <v>39</v>
      </c>
      <c r="L75" s="95" t="s">
        <v>38</v>
      </c>
      <c r="M75" s="95" t="s">
        <v>37</v>
      </c>
      <c r="N75" s="96" t="s">
        <v>0</v>
      </c>
      <c r="O75" s="36" t="s">
        <v>12</v>
      </c>
      <c r="P75" s="36" t="s">
        <v>13</v>
      </c>
      <c r="R75" s="109" t="s">
        <v>26</v>
      </c>
      <c r="S75" s="110"/>
      <c r="T75" s="111"/>
    </row>
    <row r="76" spans="1:20" x14ac:dyDescent="0.3">
      <c r="A76" s="90">
        <f>TIME(0,20,0)+A67</f>
        <v>0.30486111111111114</v>
      </c>
      <c r="B76" s="90">
        <f t="shared" ref="B76:B80" si="86">A76+TIME(0,13,0)</f>
        <v>0.31388888888888894</v>
      </c>
      <c r="C76" s="90">
        <f t="shared" ref="C76:C80" si="87">B76+TIME(0,10,0)</f>
        <v>0.32083333333333336</v>
      </c>
      <c r="D76" s="90">
        <f t="shared" ref="D76:D80" si="88">C76+TIME(0,6,0)</f>
        <v>0.32500000000000001</v>
      </c>
      <c r="E76" s="90">
        <f t="shared" ref="E76:E80" si="89">D76+TIME(0,8,0)</f>
        <v>0.33055555555555555</v>
      </c>
      <c r="F76" s="90">
        <f t="shared" ref="F76:F80" si="90">E76+TIME(0,17,0)</f>
        <v>0.34236111111111112</v>
      </c>
      <c r="G76" s="90">
        <f t="shared" ref="G76:G80" si="91">F76+TIME(0,26,0)</f>
        <v>0.36041666666666666</v>
      </c>
      <c r="H76" s="91">
        <f t="shared" ref="H76:H80" si="92">G76+TIME(0,10,0)</f>
        <v>0.36736111111111108</v>
      </c>
      <c r="I76" s="91">
        <f t="shared" ref="I76:I80" si="93">H76+TIME(0,26,0)</f>
        <v>0.38541666666666663</v>
      </c>
      <c r="J76" s="91">
        <f t="shared" ref="J76:J80" si="94">I76+TIME(0,17,0)</f>
        <v>0.3972222222222222</v>
      </c>
      <c r="K76" s="91">
        <f t="shared" ref="K76:K80" si="95">J76+TIME(0,8,0)</f>
        <v>0.40277777777777773</v>
      </c>
      <c r="L76" s="91">
        <f t="shared" ref="L76:L80" si="96">K76+TIME(0,6,0)</f>
        <v>0.40694444444444439</v>
      </c>
      <c r="M76" s="91">
        <f t="shared" ref="M76:M80" si="97">L76+TIME(0,10,0)</f>
        <v>0.41388888888888881</v>
      </c>
      <c r="N76" s="92">
        <f t="shared" ref="N76:N80" si="98">M76+TIME(0,13,0)</f>
        <v>0.42291666666666661</v>
      </c>
      <c r="O76" s="36">
        <v>1</v>
      </c>
      <c r="P76" s="36">
        <v>5</v>
      </c>
      <c r="R76" s="113">
        <v>0.40972222222222227</v>
      </c>
      <c r="S76" s="37">
        <v>1</v>
      </c>
      <c r="T76" s="37">
        <v>5</v>
      </c>
    </row>
    <row r="77" spans="1:20" x14ac:dyDescent="0.3">
      <c r="A77" s="90">
        <f t="shared" ref="A77:A80" si="99">A76+TIME(0,180,0)</f>
        <v>0.42986111111111114</v>
      </c>
      <c r="B77" s="90">
        <f t="shared" si="86"/>
        <v>0.43888888888888894</v>
      </c>
      <c r="C77" s="90">
        <f t="shared" si="87"/>
        <v>0.44583333333333336</v>
      </c>
      <c r="D77" s="90">
        <f t="shared" si="88"/>
        <v>0.45</v>
      </c>
      <c r="E77" s="90">
        <f t="shared" si="89"/>
        <v>0.45555555555555555</v>
      </c>
      <c r="F77" s="90">
        <f t="shared" si="90"/>
        <v>0.46736111111111112</v>
      </c>
      <c r="G77" s="90">
        <f t="shared" si="91"/>
        <v>0.48541666666666666</v>
      </c>
      <c r="H77" s="91">
        <f t="shared" si="92"/>
        <v>0.49236111111111108</v>
      </c>
      <c r="I77" s="91">
        <f t="shared" si="93"/>
        <v>0.51041666666666663</v>
      </c>
      <c r="J77" s="91">
        <f t="shared" si="94"/>
        <v>0.52222222222222214</v>
      </c>
      <c r="K77" s="91">
        <f t="shared" si="95"/>
        <v>0.52777777777777768</v>
      </c>
      <c r="L77" s="91">
        <f t="shared" si="96"/>
        <v>0.53194444444444433</v>
      </c>
      <c r="M77" s="91">
        <f t="shared" si="97"/>
        <v>0.53888888888888875</v>
      </c>
      <c r="N77" s="92">
        <f t="shared" si="98"/>
        <v>0.5479166666666665</v>
      </c>
      <c r="O77" s="36">
        <v>1</v>
      </c>
      <c r="P77" s="36">
        <v>7</v>
      </c>
      <c r="R77" s="113">
        <v>0.53472222222222221</v>
      </c>
      <c r="S77" s="37">
        <v>1</v>
      </c>
      <c r="T77" s="37">
        <v>7</v>
      </c>
    </row>
    <row r="78" spans="1:20" x14ac:dyDescent="0.3">
      <c r="A78" s="90">
        <f t="shared" si="99"/>
        <v>0.55486111111111114</v>
      </c>
      <c r="B78" s="90">
        <f t="shared" si="86"/>
        <v>0.56388888888888888</v>
      </c>
      <c r="C78" s="90">
        <f t="shared" si="87"/>
        <v>0.5708333333333333</v>
      </c>
      <c r="D78" s="90">
        <f t="shared" si="88"/>
        <v>0.57499999999999996</v>
      </c>
      <c r="E78" s="90">
        <f t="shared" si="89"/>
        <v>0.58055555555555549</v>
      </c>
      <c r="F78" s="90">
        <f t="shared" si="90"/>
        <v>0.59236111111111101</v>
      </c>
      <c r="G78" s="90">
        <f t="shared" si="91"/>
        <v>0.61041666666666661</v>
      </c>
      <c r="H78" s="91">
        <f t="shared" si="92"/>
        <v>0.61736111111111103</v>
      </c>
      <c r="I78" s="91">
        <f t="shared" si="93"/>
        <v>0.63541666666666663</v>
      </c>
      <c r="J78" s="91">
        <f t="shared" si="94"/>
        <v>0.64722222222222214</v>
      </c>
      <c r="K78" s="91">
        <f t="shared" si="95"/>
        <v>0.65277777777777768</v>
      </c>
      <c r="L78" s="91">
        <f t="shared" si="96"/>
        <v>0.65694444444444433</v>
      </c>
      <c r="M78" s="91">
        <f t="shared" si="97"/>
        <v>0.66388888888888875</v>
      </c>
      <c r="N78" s="92">
        <f t="shared" si="98"/>
        <v>0.6729166666666665</v>
      </c>
      <c r="O78" s="36">
        <v>1</v>
      </c>
      <c r="P78" s="36">
        <v>10</v>
      </c>
      <c r="R78" s="113">
        <v>0.65972222222222221</v>
      </c>
      <c r="S78" s="37">
        <v>1</v>
      </c>
      <c r="T78" s="37">
        <v>9</v>
      </c>
    </row>
    <row r="79" spans="1:20" x14ac:dyDescent="0.3">
      <c r="A79" s="90">
        <f t="shared" si="99"/>
        <v>0.67986111111111114</v>
      </c>
      <c r="B79" s="90">
        <f t="shared" si="86"/>
        <v>0.68888888888888888</v>
      </c>
      <c r="C79" s="90">
        <f t="shared" si="87"/>
        <v>0.6958333333333333</v>
      </c>
      <c r="D79" s="90">
        <f t="shared" si="88"/>
        <v>0.7</v>
      </c>
      <c r="E79" s="90">
        <f t="shared" si="89"/>
        <v>0.70555555555555549</v>
      </c>
      <c r="F79" s="90">
        <f t="shared" si="90"/>
        <v>0.71736111111111101</v>
      </c>
      <c r="G79" s="90">
        <f t="shared" si="91"/>
        <v>0.73541666666666661</v>
      </c>
      <c r="H79" s="91">
        <f t="shared" si="92"/>
        <v>0.74236111111111103</v>
      </c>
      <c r="I79" s="91">
        <f t="shared" si="93"/>
        <v>0.76041666666666663</v>
      </c>
      <c r="J79" s="91">
        <f t="shared" si="94"/>
        <v>0.77222222222222214</v>
      </c>
      <c r="K79" s="91">
        <f t="shared" si="95"/>
        <v>0.77777777777777768</v>
      </c>
      <c r="L79" s="91">
        <f t="shared" si="96"/>
        <v>0.78194444444444433</v>
      </c>
      <c r="M79" s="91">
        <f t="shared" si="97"/>
        <v>0.78888888888888875</v>
      </c>
      <c r="N79" s="92">
        <f t="shared" si="98"/>
        <v>0.7979166666666665</v>
      </c>
      <c r="O79" s="36">
        <v>1</v>
      </c>
      <c r="P79" s="36">
        <v>12</v>
      </c>
      <c r="R79" s="113">
        <v>0.78472222222222221</v>
      </c>
      <c r="S79" s="37">
        <v>1</v>
      </c>
      <c r="T79" s="37">
        <v>12</v>
      </c>
    </row>
    <row r="80" spans="1:20" x14ac:dyDescent="0.3">
      <c r="A80" s="90">
        <f t="shared" si="99"/>
        <v>0.80486111111111114</v>
      </c>
      <c r="B80" s="90">
        <f t="shared" si="86"/>
        <v>0.81388888888888888</v>
      </c>
      <c r="C80" s="90">
        <f t="shared" si="87"/>
        <v>0.8208333333333333</v>
      </c>
      <c r="D80" s="90">
        <f t="shared" si="88"/>
        <v>0.82499999999999996</v>
      </c>
      <c r="E80" s="90">
        <f t="shared" si="89"/>
        <v>0.83055555555555549</v>
      </c>
      <c r="F80" s="90">
        <f t="shared" si="90"/>
        <v>0.84236111111111101</v>
      </c>
      <c r="G80" s="90">
        <f t="shared" si="91"/>
        <v>0.86041666666666661</v>
      </c>
      <c r="H80" s="91">
        <f t="shared" si="92"/>
        <v>0.86736111111111103</v>
      </c>
      <c r="I80" s="91">
        <f t="shared" si="93"/>
        <v>0.88541666666666663</v>
      </c>
      <c r="J80" s="91">
        <f t="shared" si="94"/>
        <v>0.89722222222222214</v>
      </c>
      <c r="K80" s="91">
        <f t="shared" si="95"/>
        <v>0.90277777777777768</v>
      </c>
      <c r="L80" s="91">
        <f t="shared" si="96"/>
        <v>0.90694444444444433</v>
      </c>
      <c r="M80" s="91">
        <f t="shared" si="97"/>
        <v>0.91388888888888875</v>
      </c>
      <c r="N80" s="92">
        <f t="shared" si="98"/>
        <v>0.9229166666666665</v>
      </c>
      <c r="O80" s="36">
        <v>1</v>
      </c>
      <c r="P80" s="36">
        <v>14</v>
      </c>
      <c r="R80" s="113">
        <v>0.90972222222222221</v>
      </c>
      <c r="S80" s="37">
        <v>1</v>
      </c>
      <c r="T80" s="37">
        <v>14</v>
      </c>
    </row>
    <row r="83" spans="5:22" ht="15" thickBot="1" x14ac:dyDescent="0.35"/>
    <row r="84" spans="5:22" ht="15" thickBot="1" x14ac:dyDescent="0.35">
      <c r="E84" s="134" t="s">
        <v>62</v>
      </c>
      <c r="F84" s="135"/>
      <c r="G84" s="135"/>
      <c r="H84" s="135"/>
      <c r="I84" s="135"/>
      <c r="J84" s="135"/>
      <c r="K84" s="135"/>
      <c r="L84" s="135"/>
      <c r="M84" s="135"/>
      <c r="N84" s="135"/>
      <c r="O84" s="135"/>
      <c r="P84" s="135"/>
      <c r="Q84" s="135"/>
      <c r="R84" s="135"/>
      <c r="S84" s="135"/>
      <c r="T84" s="135"/>
      <c r="U84" s="135"/>
      <c r="V84" s="136"/>
    </row>
    <row r="85" spans="5:22" x14ac:dyDescent="0.3">
      <c r="E85" s="138" t="s">
        <v>57</v>
      </c>
      <c r="F85" s="138" t="s">
        <v>58</v>
      </c>
      <c r="G85" s="129" t="s">
        <v>59</v>
      </c>
      <c r="H85" s="138" t="s">
        <v>58</v>
      </c>
      <c r="I85" s="138" t="s">
        <v>60</v>
      </c>
      <c r="J85" s="129" t="s">
        <v>59</v>
      </c>
      <c r="K85" s="138" t="s">
        <v>60</v>
      </c>
      <c r="L85" s="138" t="s">
        <v>61</v>
      </c>
      <c r="M85" s="129" t="s">
        <v>59</v>
      </c>
      <c r="N85" s="138" t="s">
        <v>61</v>
      </c>
      <c r="O85" s="138" t="s">
        <v>63</v>
      </c>
      <c r="P85" s="129" t="s">
        <v>59</v>
      </c>
      <c r="Q85" s="138" t="s">
        <v>63</v>
      </c>
      <c r="R85" s="138" t="s">
        <v>64</v>
      </c>
      <c r="S85" s="129" t="s">
        <v>59</v>
      </c>
      <c r="T85" s="138" t="s">
        <v>64</v>
      </c>
      <c r="U85" s="138" t="s">
        <v>65</v>
      </c>
      <c r="V85" s="139" t="s">
        <v>59</v>
      </c>
    </row>
    <row r="86" spans="5:22" x14ac:dyDescent="0.3">
      <c r="E86" s="125">
        <v>0.3125</v>
      </c>
      <c r="F86" s="137">
        <v>0.3263888888888889</v>
      </c>
      <c r="G86" s="37">
        <v>1</v>
      </c>
      <c r="H86" s="137">
        <v>0.3263888888888889</v>
      </c>
      <c r="I86" s="137">
        <v>0.32986111111111116</v>
      </c>
      <c r="J86" s="37">
        <v>1</v>
      </c>
      <c r="K86" s="137">
        <v>0.32986111111111116</v>
      </c>
      <c r="L86" s="137">
        <v>0.36805555555555558</v>
      </c>
      <c r="M86" s="37">
        <v>1</v>
      </c>
      <c r="N86" s="137">
        <v>0.36805555555555558</v>
      </c>
      <c r="O86" s="125">
        <v>0.38194444444444442</v>
      </c>
      <c r="P86" s="37">
        <v>1</v>
      </c>
      <c r="Q86" s="125">
        <v>0.38194444444444442</v>
      </c>
      <c r="R86" s="125">
        <v>0.39583333333333331</v>
      </c>
      <c r="S86" s="37">
        <v>1</v>
      </c>
      <c r="T86" s="125">
        <v>0.39583333333333331</v>
      </c>
      <c r="U86" s="125">
        <v>0.40972222222222227</v>
      </c>
      <c r="V86" s="37">
        <v>1</v>
      </c>
    </row>
    <row r="87" spans="5:22" x14ac:dyDescent="0.3">
      <c r="E87" s="125">
        <v>0.4375</v>
      </c>
      <c r="F87" s="137">
        <v>0.4513888888888889</v>
      </c>
      <c r="G87" s="37">
        <v>1</v>
      </c>
      <c r="H87" s="137">
        <v>0.4513888888888889</v>
      </c>
      <c r="I87" s="137">
        <v>0.45902777777777781</v>
      </c>
      <c r="J87" s="37">
        <v>1</v>
      </c>
      <c r="K87" s="137">
        <v>0.45902777777777781</v>
      </c>
      <c r="L87" s="137">
        <v>0.49305555555555558</v>
      </c>
      <c r="M87" s="37">
        <v>1</v>
      </c>
      <c r="N87" s="137">
        <v>0.49305555555555558</v>
      </c>
      <c r="O87" s="125">
        <v>0.50694444444444442</v>
      </c>
      <c r="P87" s="37">
        <v>1</v>
      </c>
      <c r="Q87" s="125">
        <v>0.50694444444444442</v>
      </c>
      <c r="R87" s="125">
        <v>0.52083333333333337</v>
      </c>
      <c r="S87" s="37">
        <v>1</v>
      </c>
      <c r="T87" s="125">
        <v>0.52083333333333337</v>
      </c>
      <c r="U87" s="125">
        <v>0.53472222222222221</v>
      </c>
      <c r="V87" s="37">
        <v>1</v>
      </c>
    </row>
    <row r="88" spans="5:22" x14ac:dyDescent="0.3">
      <c r="E88" s="125">
        <v>0.5625</v>
      </c>
      <c r="F88" s="137">
        <v>0.57638888888888895</v>
      </c>
      <c r="G88" s="37">
        <v>1</v>
      </c>
      <c r="H88" s="137">
        <v>0.57638888888888895</v>
      </c>
      <c r="I88" s="137">
        <v>0.58402777777777781</v>
      </c>
      <c r="J88" s="37">
        <v>1</v>
      </c>
      <c r="K88" s="137">
        <v>0.58402777777777781</v>
      </c>
      <c r="L88" s="137">
        <v>0.61805555555555558</v>
      </c>
      <c r="M88" s="37">
        <v>1</v>
      </c>
      <c r="N88" s="137">
        <v>0.61805555555555558</v>
      </c>
      <c r="O88" s="125">
        <v>0.63194444444444442</v>
      </c>
      <c r="P88" s="37">
        <v>1</v>
      </c>
      <c r="Q88" s="125">
        <v>0.63194444444444442</v>
      </c>
      <c r="R88" s="125">
        <v>0.64583333333333337</v>
      </c>
      <c r="S88" s="37">
        <v>1</v>
      </c>
      <c r="T88" s="125">
        <v>0.64583333333333337</v>
      </c>
      <c r="U88" s="125">
        <v>0.65972222222222221</v>
      </c>
      <c r="V88" s="37">
        <v>1</v>
      </c>
    </row>
    <row r="89" spans="5:22" x14ac:dyDescent="0.3">
      <c r="E89" s="125">
        <v>0.6875</v>
      </c>
      <c r="F89" s="137">
        <v>0.70138888888888884</v>
      </c>
      <c r="G89" s="37">
        <v>1</v>
      </c>
      <c r="H89" s="137">
        <v>0.70138888888888884</v>
      </c>
      <c r="I89" s="137">
        <v>0.7090277777777777</v>
      </c>
      <c r="J89" s="37">
        <v>1</v>
      </c>
      <c r="K89" s="137">
        <v>0.7090277777777777</v>
      </c>
      <c r="L89" s="137">
        <v>0.74305555555555547</v>
      </c>
      <c r="M89" s="37">
        <v>1</v>
      </c>
      <c r="N89" s="137">
        <v>0.74305555555555547</v>
      </c>
      <c r="O89" s="125">
        <v>0.75694444444444453</v>
      </c>
      <c r="P89" s="37">
        <v>1</v>
      </c>
      <c r="Q89" s="125">
        <v>0.75694444444444453</v>
      </c>
      <c r="R89" s="125">
        <v>0.77083333333333337</v>
      </c>
      <c r="S89" s="37">
        <v>1</v>
      </c>
      <c r="T89" s="125">
        <v>0.77083333333333337</v>
      </c>
      <c r="U89" s="125">
        <v>0.78472222222222221</v>
      </c>
      <c r="V89" s="37">
        <v>1</v>
      </c>
    </row>
    <row r="90" spans="5:22" x14ac:dyDescent="0.3">
      <c r="E90" s="125">
        <v>0.8125</v>
      </c>
      <c r="F90" s="137">
        <v>0.82638888888888884</v>
      </c>
      <c r="G90" s="37">
        <v>1</v>
      </c>
      <c r="H90" s="137">
        <v>0.82638888888888884</v>
      </c>
      <c r="I90" s="137">
        <v>0.8340277777777777</v>
      </c>
      <c r="J90" s="37">
        <v>1</v>
      </c>
      <c r="K90" s="137">
        <v>0.8340277777777777</v>
      </c>
      <c r="L90" s="137">
        <v>0.86805555555555547</v>
      </c>
      <c r="M90" s="37">
        <v>1</v>
      </c>
      <c r="N90" s="137">
        <v>0.86805555555555547</v>
      </c>
      <c r="O90" s="125">
        <v>0.88194444444444453</v>
      </c>
      <c r="P90" s="37">
        <v>1</v>
      </c>
      <c r="Q90" s="125">
        <v>0.88194444444444453</v>
      </c>
      <c r="R90" s="125">
        <v>0.89583333333333337</v>
      </c>
      <c r="S90" s="37">
        <v>1</v>
      </c>
      <c r="T90" s="125">
        <v>0.89583333333333337</v>
      </c>
      <c r="U90" s="125">
        <v>0.90972222222222221</v>
      </c>
      <c r="V90" s="37">
        <v>1</v>
      </c>
    </row>
    <row r="91" spans="5:22" x14ac:dyDescent="0.3">
      <c r="N91" s="78"/>
      <c r="O91" s="78"/>
    </row>
  </sheetData>
  <mergeCells count="11">
    <mergeCell ref="V39:X39"/>
    <mergeCell ref="E84:V84"/>
    <mergeCell ref="G1:K1"/>
    <mergeCell ref="L1:P1"/>
    <mergeCell ref="R30:T30"/>
    <mergeCell ref="R48:T48"/>
    <mergeCell ref="R39:T39"/>
    <mergeCell ref="R75:T75"/>
    <mergeCell ref="R66:T66"/>
    <mergeCell ref="R57:T57"/>
    <mergeCell ref="R21:T2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Sheet2</vt:lpstr>
      <vt:lpstr>Nandanvan</vt:lpstr>
      <vt:lpstr>Urla</vt:lpstr>
      <vt:lpstr>Silyari</vt:lpstr>
      <vt:lpstr>Chandkhuri</vt:lpstr>
      <vt:lpstr>Kharora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Nitisha Gupta</dc:creator>
  <cp:lastModifiedBy>Nitisha Gupta</cp:lastModifiedBy>
  <dcterms:created xsi:type="dcterms:W3CDTF">2021-06-12T04:15:15Z</dcterms:created>
  <dcterms:modified xsi:type="dcterms:W3CDTF">2021-06-15T18:49:39Z</dcterms:modified>
</cp:coreProperties>
</file>